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N" sheetId="1" r:id="rId4"/>
    <sheet state="visible" name="Scout.com" sheetId="2" r:id="rId5"/>
    <sheet state="visible" name="FantasyPro" sheetId="3" r:id="rId6"/>
    <sheet state="visible" name="RotoWire" sheetId="4" r:id="rId7"/>
    <sheet state="visible" name="Masterview" sheetId="5" r:id="rId8"/>
    <sheet state="visible" name="Players We Want" sheetId="6" r:id="rId9"/>
    <sheet state="visible" name="Team Bye List" sheetId="7" r:id="rId10"/>
    <sheet state="visible" name="Names_List" sheetId="8" r:id="rId11"/>
  </sheets>
  <definedNames>
    <definedName hidden="1" localSheetId="0" name="_xlnm._FilterDatabase">ESPN!$A$1:$E$281</definedName>
    <definedName hidden="1" localSheetId="1" name="_xlnm._FilterDatabase">Scout.com!$A$1:$E$159</definedName>
    <definedName hidden="1" localSheetId="2" name="_xlnm._FilterDatabase">FantasyPro!$A$1:$E$307</definedName>
    <definedName hidden="1" localSheetId="3" name="_xlnm._FilterDatabase">RotoWire!$A$1:$E$619</definedName>
    <definedName hidden="1" localSheetId="4" name="_xlnm._FilterDatabase">Masterview!$A$1:$J$617</definedName>
    <definedName hidden="1" localSheetId="3" name="Z_9BEFF3AC_C60D_4410_965C_120711D1D806_.wvu.FilterData">RotoWire!$A$1:$E$619</definedName>
    <definedName hidden="1" localSheetId="3" name="Z_1542235B_480F_4832_8EB2_0562297D4074_.wvu.FilterData">RotoWire!$A$1:$E$619</definedName>
  </definedNames>
  <calcPr/>
  <customWorkbookViews>
    <customWorkbookView activeSheetId="0" maximized="1" windowHeight="0" windowWidth="0" guid="{9BEFF3AC-C60D-4410-965C-120711D1D806}" name="Filter 2"/>
    <customWorkbookView activeSheetId="0" maximized="1" windowHeight="0" windowWidth="0" guid="{1542235B-480F-4832-8EB2-0562297D4074}" name="Filter 1"/>
  </customWorkbookViews>
</workbook>
</file>

<file path=xl/sharedStrings.xml><?xml version="1.0" encoding="utf-8"?>
<sst xmlns="http://schemas.openxmlformats.org/spreadsheetml/2006/main" count="7087" uniqueCount="782">
  <si>
    <t>Rank</t>
  </si>
  <si>
    <t>Name</t>
  </si>
  <si>
    <t>Team</t>
  </si>
  <si>
    <t>Position</t>
  </si>
  <si>
    <t>Avg Price</t>
  </si>
  <si>
    <t>Le'Veon Bell</t>
  </si>
  <si>
    <t>PIT</t>
  </si>
  <si>
    <t>RB</t>
  </si>
  <si>
    <t>Todd Gurley</t>
  </si>
  <si>
    <t>LAR</t>
  </si>
  <si>
    <t>David Johnson</t>
  </si>
  <si>
    <t>ARI</t>
  </si>
  <si>
    <t>Ezekiel Elliott</t>
  </si>
  <si>
    <t>DAL</t>
  </si>
  <si>
    <t>Rex Burkhead</t>
  </si>
  <si>
    <t>NE</t>
  </si>
  <si>
    <t>Antonio Brown</t>
  </si>
  <si>
    <t>WR</t>
  </si>
  <si>
    <t>Saquon Barkley</t>
  </si>
  <si>
    <t>NYG</t>
  </si>
  <si>
    <t>Alvin Kamara</t>
  </si>
  <si>
    <t>NO</t>
  </si>
  <si>
    <t>Julio Jones</t>
  </si>
  <si>
    <t>ATL</t>
  </si>
  <si>
    <t>Odell Beckham</t>
  </si>
  <si>
    <t>DeAndre Hopkins</t>
  </si>
  <si>
    <t>HOU</t>
  </si>
  <si>
    <t>Kareem Hunt</t>
  </si>
  <si>
    <t>KC</t>
  </si>
  <si>
    <t>Leonard Fournette</t>
  </si>
  <si>
    <t>JAC</t>
  </si>
  <si>
    <t>Dalvin Cook</t>
  </si>
  <si>
    <t>MIN</t>
  </si>
  <si>
    <t>Melvin Gordon</t>
  </si>
  <si>
    <t>LAC</t>
  </si>
  <si>
    <t>Keenan Allen</t>
  </si>
  <si>
    <t>Michael Thomas</t>
  </si>
  <si>
    <t>Devonta Freeman</t>
  </si>
  <si>
    <t>A.J. Green</t>
  </si>
  <si>
    <t>CIN</t>
  </si>
  <si>
    <t>Christian McCaffrey</t>
  </si>
  <si>
    <t>CAR</t>
  </si>
  <si>
    <t>Rob Gronkowski</t>
  </si>
  <si>
    <t>TE</t>
  </si>
  <si>
    <t>Frank Gore</t>
  </si>
  <si>
    <t>MIA</t>
  </si>
  <si>
    <t>Davante Adams</t>
  </si>
  <si>
    <t>GB</t>
  </si>
  <si>
    <t>Mike Evans</t>
  </si>
  <si>
    <t>TB</t>
  </si>
  <si>
    <t>Jordan Howard</t>
  </si>
  <si>
    <t>CHI</t>
  </si>
  <si>
    <t>T.Y. Hilton</t>
  </si>
  <si>
    <t>IND</t>
  </si>
  <si>
    <t>Adam Thielen</t>
  </si>
  <si>
    <t>Stefon Diggs</t>
  </si>
  <si>
    <t>Tyreek Hill</t>
  </si>
  <si>
    <t>Larry Fitzgerald</t>
  </si>
  <si>
    <t>Travis Kelce</t>
  </si>
  <si>
    <t>Zach Ertz</t>
  </si>
  <si>
    <t>PHI</t>
  </si>
  <si>
    <t>Allen Robinson</t>
  </si>
  <si>
    <t>Demaryius Thomas</t>
  </si>
  <si>
    <t>DEN</t>
  </si>
  <si>
    <t>Doug Baldwin</t>
  </si>
  <si>
    <t>SEA</t>
  </si>
  <si>
    <t>Josh Gordon</t>
  </si>
  <si>
    <t>CLE</t>
  </si>
  <si>
    <t>Alshon Jeffery</t>
  </si>
  <si>
    <t>LeSean McCoy</t>
  </si>
  <si>
    <t>BUF</t>
  </si>
  <si>
    <t>Jerick McKinnon</t>
  </si>
  <si>
    <t>SF</t>
  </si>
  <si>
    <t>Joe Mixon</t>
  </si>
  <si>
    <t>Amari Cooper</t>
  </si>
  <si>
    <t>OAK</t>
  </si>
  <si>
    <t>Marvin Jones</t>
  </si>
  <si>
    <t>DET</t>
  </si>
  <si>
    <t>Brandin Cooks</t>
  </si>
  <si>
    <t>Golden Tate</t>
  </si>
  <si>
    <t>Kenyan Drake</t>
  </si>
  <si>
    <t>Royce Freeman</t>
  </si>
  <si>
    <t>Derrick Henry</t>
  </si>
  <si>
    <t>TEN</t>
  </si>
  <si>
    <t>Jay Ajayi</t>
  </si>
  <si>
    <t>Rashaad Penny</t>
  </si>
  <si>
    <t>Ronald Jones II</t>
  </si>
  <si>
    <t>Alex Collins</t>
  </si>
  <si>
    <t>BAL</t>
  </si>
  <si>
    <t>Marshawn Lynch</t>
  </si>
  <si>
    <t>JuJu Smith-Schuster</t>
  </si>
  <si>
    <t>Jarvis Landry</t>
  </si>
  <si>
    <t>Robert Woods</t>
  </si>
  <si>
    <t>Devin Funchess</t>
  </si>
  <si>
    <t>Isaiah Crowell</t>
  </si>
  <si>
    <t>NYJ</t>
  </si>
  <si>
    <t>Aaron Rodgers</t>
  </si>
  <si>
    <t>QB</t>
  </si>
  <si>
    <t>Tom Brady</t>
  </si>
  <si>
    <t>Lamar Miller</t>
  </si>
  <si>
    <t>Sony Michel</t>
  </si>
  <si>
    <t>Tevin Coleman</t>
  </si>
  <si>
    <t>Emmanuel Sanders</t>
  </si>
  <si>
    <t>Chris Hogan</t>
  </si>
  <si>
    <t>Sammy Watkins</t>
  </si>
  <si>
    <t>Corey Davis</t>
  </si>
  <si>
    <t>Cam Newton</t>
  </si>
  <si>
    <t>Carson Wentz</t>
  </si>
  <si>
    <t>Russell Wilson</t>
  </si>
  <si>
    <t>Deshaun Watson</t>
  </si>
  <si>
    <t>Will Fuller</t>
  </si>
  <si>
    <t>Marquise Goodwin</t>
  </si>
  <si>
    <t>Cooper Kupp</t>
  </si>
  <si>
    <t>Michael Crabtree</t>
  </si>
  <si>
    <t>Pierre Garcon</t>
  </si>
  <si>
    <t>Randall Cobb</t>
  </si>
  <si>
    <t>Kenny Stills</t>
  </si>
  <si>
    <t>Greg Olsen</t>
  </si>
  <si>
    <t>Delanie Walker</t>
  </si>
  <si>
    <t>Evan Engram</t>
  </si>
  <si>
    <t>Dion Lewis</t>
  </si>
  <si>
    <t>Kelvin Benjamin</t>
  </si>
  <si>
    <t>Josh Doctson</t>
  </si>
  <si>
    <t>WAS</t>
  </si>
  <si>
    <t>Carlos Hyde</t>
  </si>
  <si>
    <t>Jimmy Graham</t>
  </si>
  <si>
    <t>Jamaal Williams</t>
  </si>
  <si>
    <t>Kerryon Johnson</t>
  </si>
  <si>
    <t>Mark Ingram</t>
  </si>
  <si>
    <t>DeVante Parker</t>
  </si>
  <si>
    <t>Robby Anderson</t>
  </si>
  <si>
    <t>Jordan Reed</t>
  </si>
  <si>
    <t>Julian Edelman</t>
  </si>
  <si>
    <t>Sterling Shepard</t>
  </si>
  <si>
    <t>Jordy Nelson</t>
  </si>
  <si>
    <t>Marlon Mack</t>
  </si>
  <si>
    <t>Duke Johnson</t>
  </si>
  <si>
    <t>Chris Thompson</t>
  </si>
  <si>
    <t>Nick Chubb</t>
  </si>
  <si>
    <t>Tarik Cohen</t>
  </si>
  <si>
    <t>Kyle Rudolph</t>
  </si>
  <si>
    <t>Ty Montgomery</t>
  </si>
  <si>
    <t>Marqise Lee</t>
  </si>
  <si>
    <t>Jamison Crowder</t>
  </si>
  <si>
    <t>Kenny Golladay</t>
  </si>
  <si>
    <t>Nelson Agholor</t>
  </si>
  <si>
    <t>Allen Hurns</t>
  </si>
  <si>
    <t>Tyler Lockett</t>
  </si>
  <si>
    <t>Chris Carson</t>
  </si>
  <si>
    <t>C.J. Anderson</t>
  </si>
  <si>
    <t>Jeremy Hill</t>
  </si>
  <si>
    <t>David Njoku</t>
  </si>
  <si>
    <t>Trey Burton</t>
  </si>
  <si>
    <t>Giovani Bernard</t>
  </si>
  <si>
    <t>Jordan Wilkins</t>
  </si>
  <si>
    <t>Latavius Murray</t>
  </si>
  <si>
    <t>Rishard Matthews</t>
  </si>
  <si>
    <t>Paul Richardson</t>
  </si>
  <si>
    <t>Andrew Luck</t>
  </si>
  <si>
    <t>Ben Roethlisberger</t>
  </si>
  <si>
    <t>Kirk Cousins</t>
  </si>
  <si>
    <t>Jack Doyle</t>
  </si>
  <si>
    <t>Cameron Meredith</t>
  </si>
  <si>
    <t>Mohamed Sanu</t>
  </si>
  <si>
    <t>D.J. Moore</t>
  </si>
  <si>
    <t>DeSean Jackson</t>
  </si>
  <si>
    <t>Chris Godwin</t>
  </si>
  <si>
    <t>Michael Gallup</t>
  </si>
  <si>
    <t>Matthew Stafford</t>
  </si>
  <si>
    <t>Drew Brees</t>
  </si>
  <si>
    <t>Calvin Ridley</t>
  </si>
  <si>
    <t>Dez Bryant</t>
  </si>
  <si>
    <t>FA</t>
  </si>
  <si>
    <t>John Ross</t>
  </si>
  <si>
    <t>Danny Amendola</t>
  </si>
  <si>
    <t>Charles Clay</t>
  </si>
  <si>
    <t>Patrick Mahomes</t>
  </si>
  <si>
    <t>Philip Rivers</t>
  </si>
  <si>
    <t>Tyler Eifert</t>
  </si>
  <si>
    <t>Jimmy Garoppolo</t>
  </si>
  <si>
    <t>Matt Ryan</t>
  </si>
  <si>
    <t>Alex Smith</t>
  </si>
  <si>
    <t>Marcus Mariota</t>
  </si>
  <si>
    <t>Anthony Miller</t>
  </si>
  <si>
    <t>James Washington</t>
  </si>
  <si>
    <t>Donte Moncrief</t>
  </si>
  <si>
    <t>Courtland Sutton</t>
  </si>
  <si>
    <t>Mike Williams</t>
  </si>
  <si>
    <t>Eric Decker</t>
  </si>
  <si>
    <t>James White</t>
  </si>
  <si>
    <t>Theo Riddick</t>
  </si>
  <si>
    <t>Devontae Booker</t>
  </si>
  <si>
    <t>Nyheim Hines</t>
  </si>
  <si>
    <t>Rob Kelley</t>
  </si>
  <si>
    <t>Samaje Perine</t>
  </si>
  <si>
    <t>Doug Martin</t>
  </si>
  <si>
    <t>Matt Breida</t>
  </si>
  <si>
    <t>LeGarrette Blount</t>
  </si>
  <si>
    <t>Jacksonville Jaguars</t>
  </si>
  <si>
    <t>D/ST</t>
  </si>
  <si>
    <t>George Kittle</t>
  </si>
  <si>
    <t>Christian Kirk</t>
  </si>
  <si>
    <t>Mike Wallace</t>
  </si>
  <si>
    <t>John Brown</t>
  </si>
  <si>
    <t>Aaron Jones</t>
  </si>
  <si>
    <t>Dak Prescott</t>
  </si>
  <si>
    <t>Jared Goff</t>
  </si>
  <si>
    <t>Austin Seferian-Jenkins</t>
  </si>
  <si>
    <t>Keelan Cole</t>
  </si>
  <si>
    <t>Cameron Brate</t>
  </si>
  <si>
    <t>Corey Clement</t>
  </si>
  <si>
    <t>Mitchell Trubisky</t>
  </si>
  <si>
    <t>Martavis Bryant</t>
  </si>
  <si>
    <t>Philadelphia Eagles</t>
  </si>
  <si>
    <t>Los Angeles Rams</t>
  </si>
  <si>
    <t>Minnesota Vikings</t>
  </si>
  <si>
    <t>Houston Texans</t>
  </si>
  <si>
    <t>Baltimore Ravens</t>
  </si>
  <si>
    <t>Greg Zuerlein</t>
  </si>
  <si>
    <t>K</t>
  </si>
  <si>
    <t>Stephen Gostkowski</t>
  </si>
  <si>
    <t>Justin Tucker</t>
  </si>
  <si>
    <t>New England Patriots</t>
  </si>
  <si>
    <t>Los Angeles Chargers</t>
  </si>
  <si>
    <t>Denver Broncos</t>
  </si>
  <si>
    <t>New Orleans Saints</t>
  </si>
  <si>
    <t>Tennessee Titans</t>
  </si>
  <si>
    <t>Carolina Panthers</t>
  </si>
  <si>
    <t>Matt Bryant</t>
  </si>
  <si>
    <t>Wil Lutz</t>
  </si>
  <si>
    <t>Chris Boswell</t>
  </si>
  <si>
    <t>Robbie Gould</t>
  </si>
  <si>
    <t>Jake Elliott</t>
  </si>
  <si>
    <t>Matt Prater</t>
  </si>
  <si>
    <t>Harrison Butker</t>
  </si>
  <si>
    <t>Adam Vinatieri</t>
  </si>
  <si>
    <t>Graham Gano</t>
  </si>
  <si>
    <t>Kenneth Dixon</t>
  </si>
  <si>
    <t>Bilal Powell</t>
  </si>
  <si>
    <t>Darren Sproles</t>
  </si>
  <si>
    <t>Jared Cook</t>
  </si>
  <si>
    <t>Vance McDonald</t>
  </si>
  <si>
    <t>Benjamin Watson</t>
  </si>
  <si>
    <t>D'Onta Foreman</t>
  </si>
  <si>
    <t>Chris Ivory</t>
  </si>
  <si>
    <t>Austin Ekeler</t>
  </si>
  <si>
    <t>Spencer Ware</t>
  </si>
  <si>
    <t>Chase Edmonds</t>
  </si>
  <si>
    <t>Peyton Barber</t>
  </si>
  <si>
    <t>Elijah McGuire</t>
  </si>
  <si>
    <t>Jonathan Stewart</t>
  </si>
  <si>
    <t>Javorius Allen</t>
  </si>
  <si>
    <t>Rod Smith</t>
  </si>
  <si>
    <t>Eric Ebron</t>
  </si>
  <si>
    <t>O.J. Howard</t>
  </si>
  <si>
    <t>Tyrod Taylor</t>
  </si>
  <si>
    <t>Terrelle Pryor Sr.</t>
  </si>
  <si>
    <t>Quincy Enunwa</t>
  </si>
  <si>
    <t>Tyler Boyd</t>
  </si>
  <si>
    <t>Albert Wilson</t>
  </si>
  <si>
    <t>Ted Ginn Jr.</t>
  </si>
  <si>
    <t>Terrance Williams</t>
  </si>
  <si>
    <t>Andy Dalton</t>
  </si>
  <si>
    <t>Ryan Tannehill</t>
  </si>
  <si>
    <t>Washington Redskins</t>
  </si>
  <si>
    <t>Arizona Cardinals</t>
  </si>
  <si>
    <t>Dan Bailey</t>
  </si>
  <si>
    <t>Ryan Succop</t>
  </si>
  <si>
    <t>Antonio Callaway</t>
  </si>
  <si>
    <t>Willie Snead</t>
  </si>
  <si>
    <t>Tyrell Williams</t>
  </si>
  <si>
    <t>Zay Jones</t>
  </si>
  <si>
    <t>Brandon Marshall</t>
  </si>
  <si>
    <t>Travis Benjamin</t>
  </si>
  <si>
    <t>Cole Beasley</t>
  </si>
  <si>
    <t>Ryan Grant</t>
  </si>
  <si>
    <t>Jermaine Kearse</t>
  </si>
  <si>
    <t>Taywan Taylor</t>
  </si>
  <si>
    <t>T.J. Yeldon</t>
  </si>
  <si>
    <t>John Kelly</t>
  </si>
  <si>
    <t>C.J. Prosise</t>
  </si>
  <si>
    <t>Corey Grant</t>
  </si>
  <si>
    <t>Alfred Blue</t>
  </si>
  <si>
    <t>Mark Walton</t>
  </si>
  <si>
    <t>Tavon Austin</t>
  </si>
  <si>
    <t>Charles Sims</t>
  </si>
  <si>
    <t>Eli Manning</t>
  </si>
  <si>
    <t>Jameis Winston</t>
  </si>
  <si>
    <t>Derek Carr</t>
  </si>
  <si>
    <t>Ricky Seals-Jones</t>
  </si>
  <si>
    <t>Austin Hooper</t>
  </si>
  <si>
    <t>Mike Gesicki</t>
  </si>
  <si>
    <t>Antonio Gates</t>
  </si>
  <si>
    <t>Wayne Gallman</t>
  </si>
  <si>
    <t>Atlanta Falcons</t>
  </si>
  <si>
    <t>Daniel Carlson</t>
  </si>
  <si>
    <t>Ryan Griffin</t>
  </si>
  <si>
    <t>Gerald Everett</t>
  </si>
  <si>
    <t>Hayden Hurst</t>
  </si>
  <si>
    <t>Joe Williams</t>
  </si>
  <si>
    <t>James Conner</t>
  </si>
  <si>
    <t>Case Keenum</t>
  </si>
  <si>
    <t>Blake Bortles</t>
  </si>
  <si>
    <t>Joe Flacco</t>
  </si>
  <si>
    <t>Sam Bradford</t>
  </si>
  <si>
    <t>Josh McCown</t>
  </si>
  <si>
    <t>De'Angelo Henderson</t>
  </si>
  <si>
    <t>Kalen Ballage</t>
  </si>
  <si>
    <t>Terrance West</t>
  </si>
  <si>
    <t>Jake Butt</t>
  </si>
  <si>
    <t>Virgil Green</t>
  </si>
  <si>
    <t>Vernon Davis</t>
  </si>
  <si>
    <t>Tyler Kroft</t>
  </si>
  <si>
    <t>Rico Gathers</t>
  </si>
  <si>
    <t>AJ McCarron</t>
  </si>
  <si>
    <t>Lamar Jackson</t>
  </si>
  <si>
    <t>Sam Darnold</t>
  </si>
  <si>
    <t>Josh Rosen</t>
  </si>
  <si>
    <t>Blake Jarwin</t>
  </si>
  <si>
    <t>Ryan Fitzpatrick</t>
  </si>
  <si>
    <t>Baker Mayfield</t>
  </si>
  <si>
    <t>Nick Foles</t>
  </si>
  <si>
    <t>Josh Allen</t>
  </si>
  <si>
    <t>Jacoby Brissett</t>
  </si>
  <si>
    <t>Derrius Guice</t>
  </si>
  <si>
    <t>Ronald Jones</t>
  </si>
  <si>
    <t>Hunter Henry</t>
  </si>
  <si>
    <t>Green Bay Packers</t>
  </si>
  <si>
    <t>San Francisco 49ers</t>
  </si>
  <si>
    <t>Dante Pettis</t>
  </si>
  <si>
    <t>Kyle Lauletta</t>
  </si>
  <si>
    <t>Tre'Quan Smith</t>
  </si>
  <si>
    <t>Mason Rudolph</t>
  </si>
  <si>
    <t>Seattle Seahawks</t>
  </si>
  <si>
    <t>PK</t>
  </si>
  <si>
    <t>#</t>
  </si>
  <si>
    <t>Pos</t>
  </si>
  <si>
    <t>Value</t>
  </si>
  <si>
    <t>Devante Parker</t>
  </si>
  <si>
    <t>Ted Ginn</t>
  </si>
  <si>
    <t>Pittsburgh Steelers</t>
  </si>
  <si>
    <t>Mason Crosby</t>
  </si>
  <si>
    <t>Detroit Lions</t>
  </si>
  <si>
    <t>Chicago Bears</t>
  </si>
  <si>
    <t>Kansas City Chiefs</t>
  </si>
  <si>
    <t>Buffalo Bills</t>
  </si>
  <si>
    <t>Tampa Bay Buccaneers</t>
  </si>
  <si>
    <t>Dallas Cowboys</t>
  </si>
  <si>
    <t>Cincinnati Bengals</t>
  </si>
  <si>
    <t>Miami Dolphins</t>
  </si>
  <si>
    <t>New York Giants</t>
  </si>
  <si>
    <t>New York Jets</t>
  </si>
  <si>
    <t>Oakland Raiders</t>
  </si>
  <si>
    <t>Cleveland Browns</t>
  </si>
  <si>
    <t>Indianapolis Colts</t>
  </si>
  <si>
    <t>Mitch Trubisky</t>
  </si>
  <si>
    <t>Robert Kelley</t>
  </si>
  <si>
    <t>Adrian Peterson</t>
  </si>
  <si>
    <t>Terrance West,</t>
  </si>
  <si>
    <t>Jalen Richard</t>
  </si>
  <si>
    <t>Travaris Cadet</t>
  </si>
  <si>
    <t>Kyle Juszczyk</t>
  </si>
  <si>
    <t>Shane Vereen</t>
  </si>
  <si>
    <t>Christine Michael</t>
  </si>
  <si>
    <t>Charcandrick West,</t>
  </si>
  <si>
    <t>Malcolm Brown</t>
  </si>
  <si>
    <t>Kapri Bibbs</t>
  </si>
  <si>
    <t>James Summers</t>
  </si>
  <si>
    <t>Jarveon Williams</t>
  </si>
  <si>
    <t>Jonathan Williams</t>
  </si>
  <si>
    <t>Robert Turbin</t>
  </si>
  <si>
    <t>Cameron Artis-Payne</t>
  </si>
  <si>
    <t>Brandon LaFell,</t>
  </si>
  <si>
    <t>Tony Lippett</t>
  </si>
  <si>
    <t>Dez Bryant,</t>
  </si>
  <si>
    <t>Corey Coleman</t>
  </si>
  <si>
    <t>Geronimo Allison</t>
  </si>
  <si>
    <t>Dede Westbrook</t>
  </si>
  <si>
    <t>Jordan Matthews,</t>
  </si>
  <si>
    <t>J.J. Nelson</t>
  </si>
  <si>
    <t>Adam Humphries</t>
  </si>
  <si>
    <t>Chester Rogers</t>
  </si>
  <si>
    <t>Trent Taylor</t>
  </si>
  <si>
    <t>Taylor Gabriel</t>
  </si>
  <si>
    <t>Sam Ficken</t>
  </si>
  <si>
    <t>Josh Lambo</t>
  </si>
  <si>
    <t>Caleb Sturgis</t>
  </si>
  <si>
    <t>Phil Dawson</t>
  </si>
  <si>
    <t>Giorgio Tavecchio,</t>
  </si>
  <si>
    <t>Sebastian Janikowski</t>
  </si>
  <si>
    <t>Christian McCaffery</t>
  </si>
  <si>
    <t>Juju Smith-Schuster</t>
  </si>
  <si>
    <t>Christopher Carson</t>
  </si>
  <si>
    <t>Taywan Tayior</t>
  </si>
  <si>
    <t>Phillip Dorsett</t>
  </si>
  <si>
    <t>Ka'imi Fairbairn</t>
  </si>
  <si>
    <t>Brandon McManus</t>
  </si>
  <si>
    <t>Steven Hauschka</t>
  </si>
  <si>
    <t>Chandler Catanzaro</t>
  </si>
  <si>
    <t>Dustin Hopkins</t>
  </si>
  <si>
    <t>Cody Parkey</t>
  </si>
  <si>
    <t>Aldrick Rosas</t>
  </si>
  <si>
    <t>Zane Gonzalez</t>
  </si>
  <si>
    <t>Jason Sanders</t>
  </si>
  <si>
    <t>Cairo Santos</t>
  </si>
  <si>
    <t>Randy Bullock</t>
  </si>
  <si>
    <t>Roberto Aguayo</t>
  </si>
  <si>
    <t>Eddy Pineiro</t>
  </si>
  <si>
    <t>Giorgio Tavecchio</t>
  </si>
  <si>
    <t>Kai Forbath</t>
  </si>
  <si>
    <t>Travis Coons</t>
  </si>
  <si>
    <t>Blair Walsh</t>
  </si>
  <si>
    <t>Mike Nugent</t>
  </si>
  <si>
    <t>Nick Novak</t>
  </si>
  <si>
    <t>Nick Folk</t>
  </si>
  <si>
    <t>Connor Barth</t>
  </si>
  <si>
    <t>Jason Myers</t>
  </si>
  <si>
    <t>Jeremy McNichols</t>
  </si>
  <si>
    <t>Curtis Samuel</t>
  </si>
  <si>
    <t>Boston Scott</t>
  </si>
  <si>
    <t>D.J. Chark</t>
  </si>
  <si>
    <t>DeShaun Watson</t>
  </si>
  <si>
    <t>Alfred Morris</t>
  </si>
  <si>
    <t>Jaylen Samuels</t>
  </si>
  <si>
    <t>Kendall Wright</t>
  </si>
  <si>
    <t>Terrelle Pryor</t>
  </si>
  <si>
    <t>Ito Smith</t>
  </si>
  <si>
    <t>Jaron Brown</t>
  </si>
  <si>
    <t>Equanimeous St. Brown</t>
  </si>
  <si>
    <t>Torrey Smith</t>
  </si>
  <si>
    <t>Ameer Abdullah</t>
  </si>
  <si>
    <t>Jacquizz Rodgers</t>
  </si>
  <si>
    <t>Jakeem Grant</t>
  </si>
  <si>
    <t>Ben Watson</t>
  </si>
  <si>
    <t>Luke Willson</t>
  </si>
  <si>
    <t>Mike Gillislee</t>
  </si>
  <si>
    <t>Brice Butler</t>
  </si>
  <si>
    <t>Carlos Henderson</t>
  </si>
  <si>
    <t>Kevin White</t>
  </si>
  <si>
    <t>Nick Vannett</t>
  </si>
  <si>
    <t>Garrett Celek</t>
  </si>
  <si>
    <t>Jeffery Wilson</t>
  </si>
  <si>
    <t>Daurice Fountain</t>
  </si>
  <si>
    <t>Jordan Lasley</t>
  </si>
  <si>
    <t>Josh Adams</t>
  </si>
  <si>
    <t>Cordarrelle Patterson</t>
  </si>
  <si>
    <t>Orleans Darkwa</t>
  </si>
  <si>
    <t>Tyler Higbee</t>
  </si>
  <si>
    <t>Jeremy Maclin</t>
  </si>
  <si>
    <t>Brandon LaFell</t>
  </si>
  <si>
    <t>J.D. McKissic</t>
  </si>
  <si>
    <t>Jesse James</t>
  </si>
  <si>
    <t>Thomas Rawls</t>
  </si>
  <si>
    <t>Bruce Ellington</t>
  </si>
  <si>
    <t>Damien Williams</t>
  </si>
  <si>
    <t>Jarius Wright</t>
  </si>
  <si>
    <t>DeAndre Washington</t>
  </si>
  <si>
    <t>Brandon Oliver</t>
  </si>
  <si>
    <t>Kerwynn Williams</t>
  </si>
  <si>
    <t>Johnny Holton</t>
  </si>
  <si>
    <t>Seth DeValve</t>
  </si>
  <si>
    <t>Ryan Nall</t>
  </si>
  <si>
    <t>Benny Cunningham</t>
  </si>
  <si>
    <t>Adam Shaheen</t>
  </si>
  <si>
    <t>Mark Andrews</t>
  </si>
  <si>
    <t>Wendell Smallwood</t>
  </si>
  <si>
    <t>Clive Walford</t>
  </si>
  <si>
    <t>Justin Hardy</t>
  </si>
  <si>
    <t>Ed Dickson</t>
  </si>
  <si>
    <t>Chris Conley</t>
  </si>
  <si>
    <t>Quadree Henderson</t>
  </si>
  <si>
    <t>Akrum Wadley</t>
  </si>
  <si>
    <t>Eli Rogers</t>
  </si>
  <si>
    <t>Jordan Akins</t>
  </si>
  <si>
    <t>Tre McBride</t>
  </si>
  <si>
    <t>Dontrelle Inman</t>
  </si>
  <si>
    <t>DaeSean Hamilton</t>
  </si>
  <si>
    <t>Mack Hollins</t>
  </si>
  <si>
    <t>Mike Tolbert</t>
  </si>
  <si>
    <t>Dallas Goedert</t>
  </si>
  <si>
    <t>Raheem Mostert</t>
  </si>
  <si>
    <t>Tion Green</t>
  </si>
  <si>
    <t>Seth Roberts</t>
  </si>
  <si>
    <t>Mike Davis</t>
  </si>
  <si>
    <t>Roger Lewis</t>
  </si>
  <si>
    <t>TJ Jones</t>
  </si>
  <si>
    <t>Taquan Mizzell</t>
  </si>
  <si>
    <t>Demetrius Harris</t>
  </si>
  <si>
    <t>Laquon Treadwell</t>
  </si>
  <si>
    <t>Brian Hill</t>
  </si>
  <si>
    <t>Bo Scarbrough</t>
  </si>
  <si>
    <t>Malcolm Mitchell</t>
  </si>
  <si>
    <t>Marquez Valdes-Scantling</t>
  </si>
  <si>
    <t>Richard Rodgers</t>
  </si>
  <si>
    <t>Charcandrick West</t>
  </si>
  <si>
    <t>Stephen Anderson</t>
  </si>
  <si>
    <t>Brandon Coleman</t>
  </si>
  <si>
    <t>Jonnu Smith</t>
  </si>
  <si>
    <t>Deonte Thompson</t>
  </si>
  <si>
    <t>D.J. Foster</t>
  </si>
  <si>
    <t>Lance Dunbar</t>
  </si>
  <si>
    <t>Jeremy Kerley</t>
  </si>
  <si>
    <t>Justin Watson</t>
  </si>
  <si>
    <t>A.J. Derby</t>
  </si>
  <si>
    <t>Keith Marshall</t>
  </si>
  <si>
    <t>Pharoh Cooper</t>
  </si>
  <si>
    <t>Jake Kumerow</t>
  </si>
  <si>
    <t>Andre Ellington</t>
  </si>
  <si>
    <t>Jermaine Gresham</t>
  </si>
  <si>
    <t>Trevor Davis</t>
  </si>
  <si>
    <t>Markus Wheaton</t>
  </si>
  <si>
    <t>Kamar Aiken</t>
  </si>
  <si>
    <t>Michael Campanaro</t>
  </si>
  <si>
    <t>Nick O'Leary</t>
  </si>
  <si>
    <t>C.J. Fiedorowicz</t>
  </si>
  <si>
    <t>Marcedes Lewis</t>
  </si>
  <si>
    <t>Devante Mays</t>
  </si>
  <si>
    <t>Trey Edmunds</t>
  </si>
  <si>
    <t>Keke Coutee</t>
  </si>
  <si>
    <t>Richie James</t>
  </si>
  <si>
    <t>Allen Lazard</t>
  </si>
  <si>
    <t>J'Mon Moore</t>
  </si>
  <si>
    <t>Simmie Cobbs</t>
  </si>
  <si>
    <t>Josh Reynolds</t>
  </si>
  <si>
    <t>Deontay Burnett</t>
  </si>
  <si>
    <t>Donnel Pumphrey</t>
  </si>
  <si>
    <t>Nick Boyle</t>
  </si>
  <si>
    <t>Kenjon Barner</t>
  </si>
  <si>
    <t>Kenny Britt</t>
  </si>
  <si>
    <t>Erik Swoope</t>
  </si>
  <si>
    <t>Russell Shepard</t>
  </si>
  <si>
    <t>Jamaal Charles</t>
  </si>
  <si>
    <t>Eddie Lacy</t>
  </si>
  <si>
    <t>Bennie Fowler</t>
  </si>
  <si>
    <t>Mack Brown</t>
  </si>
  <si>
    <t>Kaelin Clay</t>
  </si>
  <si>
    <t>Aldrick Robinson</t>
  </si>
  <si>
    <t>Sammie Coates</t>
  </si>
  <si>
    <t>Dwayne Allen</t>
  </si>
  <si>
    <t>Josh Hill</t>
  </si>
  <si>
    <t>Dalton Schultz</t>
  </si>
  <si>
    <t>Jordan Todman</t>
  </si>
  <si>
    <t>Dwayne Washington</t>
  </si>
  <si>
    <t>Fitzgerald Toussaint</t>
  </si>
  <si>
    <t>Kamryn Pettway</t>
  </si>
  <si>
    <t>Rashard Higgins</t>
  </si>
  <si>
    <t>Chris Moore</t>
  </si>
  <si>
    <t>Matt Dayes</t>
  </si>
  <si>
    <t>Stevan Ridley</t>
  </si>
  <si>
    <t>Michael Floyd</t>
  </si>
  <si>
    <t>Brian Quick</t>
  </si>
  <si>
    <t>Amara Darboh</t>
  </si>
  <si>
    <t>Zach Zenner</t>
  </si>
  <si>
    <t>Korey Robertson</t>
  </si>
  <si>
    <t>Akeem Hunt</t>
  </si>
  <si>
    <t>Josh Bellamy</t>
  </si>
  <si>
    <t>Lance Kendricks</t>
  </si>
  <si>
    <t>Jeff Heuerman</t>
  </si>
  <si>
    <t>Maxx Williams</t>
  </si>
  <si>
    <t>Troy Fumagalli</t>
  </si>
  <si>
    <t>Brandon Bolden</t>
  </si>
  <si>
    <t>Tommylee Lewis</t>
  </si>
  <si>
    <t>Josh Ferguson</t>
  </si>
  <si>
    <t>Ricardo Louis</t>
  </si>
  <si>
    <t>Leonte Carroo</t>
  </si>
  <si>
    <t>Breshad Perriman</t>
  </si>
  <si>
    <t>Braxton Miller</t>
  </si>
  <si>
    <t>T.J. Logan</t>
  </si>
  <si>
    <t>Isaiah McKenzie</t>
  </si>
  <si>
    <t>Jaleel Scott</t>
  </si>
  <si>
    <t>Cody Latimer</t>
  </si>
  <si>
    <t>Bobby Rainey</t>
  </si>
  <si>
    <t>Matt Jones</t>
  </si>
  <si>
    <t>Chris Herndon</t>
  </si>
  <si>
    <t>C.J. Spiller</t>
  </si>
  <si>
    <t>Andre Holmes</t>
  </si>
  <si>
    <t>Rhett Ellison</t>
  </si>
  <si>
    <t>DeMarco Murray</t>
  </si>
  <si>
    <t>Fozzy Whittaker</t>
  </si>
  <si>
    <t>Paul Perkins</t>
  </si>
  <si>
    <t>Terron Ward</t>
  </si>
  <si>
    <t>Nick Bawden</t>
  </si>
  <si>
    <t>Justin Jackson</t>
  </si>
  <si>
    <t>Khalid Abdullah</t>
  </si>
  <si>
    <t>Trenton Cannon</t>
  </si>
  <si>
    <t>David Williams</t>
  </si>
  <si>
    <t>Dion Sims</t>
  </si>
  <si>
    <t>Tavares Martin</t>
  </si>
  <si>
    <t>Alex Erickson</t>
  </si>
  <si>
    <t>Chad Hansen</t>
  </si>
  <si>
    <t>Cedrick Wilson</t>
  </si>
  <si>
    <t>Marcell Ateman</t>
  </si>
  <si>
    <t>Trey Quinn</t>
  </si>
  <si>
    <t>James O'Shaughnessy</t>
  </si>
  <si>
    <t>Levine Toilolo</t>
  </si>
  <si>
    <t>Ian Thomas</t>
  </si>
  <si>
    <t>Niles Paul</t>
  </si>
  <si>
    <t>Javon Wims</t>
  </si>
  <si>
    <t>De'Anthony Thomas</t>
  </si>
  <si>
    <t>Auden Tate</t>
  </si>
  <si>
    <t>ArDarius Stewart</t>
  </si>
  <si>
    <t>Eric Tomlinson</t>
  </si>
  <si>
    <t>Darrius Heyward-Bey</t>
  </si>
  <si>
    <t>Bryce Treggs</t>
  </si>
  <si>
    <t>Braxton Berrios</t>
  </si>
  <si>
    <t>Ray-Ray McCloud</t>
  </si>
  <si>
    <t>Marvin Hall</t>
  </si>
  <si>
    <t>Austin Proehl</t>
  </si>
  <si>
    <t>Damion Ratley</t>
  </si>
  <si>
    <t>Derek Carrier</t>
  </si>
  <si>
    <t>Coby Fleener</t>
  </si>
  <si>
    <t>Russell Gage</t>
  </si>
  <si>
    <t>Brent Celek</t>
  </si>
  <si>
    <t>Dylan Cantrell</t>
  </si>
  <si>
    <t>Justin Hunter</t>
  </si>
  <si>
    <t>Jeff Janis</t>
  </si>
  <si>
    <t>Charone Peake</t>
  </si>
  <si>
    <t>Ryan Switzer</t>
  </si>
  <si>
    <t>Jeremy Sprinkle</t>
  </si>
  <si>
    <t>Will Dissly</t>
  </si>
  <si>
    <t>Ryan Izzo</t>
  </si>
  <si>
    <t>Troy Niklas</t>
  </si>
  <si>
    <t>Tyler Conklin</t>
  </si>
  <si>
    <t>Darren Fells</t>
  </si>
  <si>
    <t>Durham Smythe</t>
  </si>
  <si>
    <t>Xavier Grimble</t>
  </si>
  <si>
    <t>Jordan Thomas</t>
  </si>
  <si>
    <t>Deon Cain</t>
  </si>
  <si>
    <t>Jordan Matthews</t>
  </si>
  <si>
    <t>Jaelon Acklin</t>
  </si>
  <si>
    <t>Jason Witten</t>
  </si>
  <si>
    <t>Julius Thomas</t>
  </si>
  <si>
    <t>Austin Roberts</t>
  </si>
  <si>
    <t>Nathan Peterman</t>
  </si>
  <si>
    <t>Teddy Bridgewater</t>
  </si>
  <si>
    <t>Drew Stanton</t>
  </si>
  <si>
    <t>Brock Osweiler</t>
  </si>
  <si>
    <t>Davis Webb</t>
  </si>
  <si>
    <t>DeShone Kizer</t>
  </si>
  <si>
    <t>Bryce Petty</t>
  </si>
  <si>
    <t>Brian Hoyer</t>
  </si>
  <si>
    <t>Mike Glennon</t>
  </si>
  <si>
    <t>Chad Kelly</t>
  </si>
  <si>
    <t>Landry Jones</t>
  </si>
  <si>
    <t>Chad Henne</t>
  </si>
  <si>
    <t>Derek Anderson</t>
  </si>
  <si>
    <t>EJ Manuel</t>
  </si>
  <si>
    <t>Matt Schaub</t>
  </si>
  <si>
    <t>Blaine Gabbert</t>
  </si>
  <si>
    <t>Brett Hundley</t>
  </si>
  <si>
    <t>Matt Moore</t>
  </si>
  <si>
    <t>Robert Griffin</t>
  </si>
  <si>
    <t>Luke Falk</t>
  </si>
  <si>
    <t>Geno Smith</t>
  </si>
  <si>
    <t>Chase Daniel</t>
  </si>
  <si>
    <t>Matt Cassel</t>
  </si>
  <si>
    <t>Sean Mannion</t>
  </si>
  <si>
    <t>Colt McCoy</t>
  </si>
  <si>
    <t>Taysom Hill</t>
  </si>
  <si>
    <t>Cardale Jones</t>
  </si>
  <si>
    <t>Joshua Dobbs</t>
  </si>
  <si>
    <t>C.J. Beathard</t>
  </si>
  <si>
    <t>Jake Rudock</t>
  </si>
  <si>
    <t>Cody Kessler</t>
  </si>
  <si>
    <t>Kevin Hogan</t>
  </si>
  <si>
    <t>Trevor Siemian</t>
  </si>
  <si>
    <t>Brandon Weeden</t>
  </si>
  <si>
    <t>Tom Savage</t>
  </si>
  <si>
    <t>Scott Tolzien</t>
  </si>
  <si>
    <t>Nate Sudfeld</t>
  </si>
  <si>
    <t>Cooper Rush</t>
  </si>
  <si>
    <t>Austin Davis</t>
  </si>
  <si>
    <t>Tanner Lee</t>
  </si>
  <si>
    <t>Kellen Moore</t>
  </si>
  <si>
    <t>Colin Kaepernick</t>
  </si>
  <si>
    <t>Paxton Lynch</t>
  </si>
  <si>
    <t>Ryan Mallett</t>
  </si>
  <si>
    <t>T.J. Yates</t>
  </si>
  <si>
    <t>Joe Webb</t>
  </si>
  <si>
    <t>Kellen Clemens</t>
  </si>
  <si>
    <t>Jay Cutler</t>
  </si>
  <si>
    <t>J.T. Barrett</t>
  </si>
  <si>
    <t>Chase Litton</t>
  </si>
  <si>
    <t>Kurt Benkert</t>
  </si>
  <si>
    <t>Mike White</t>
  </si>
  <si>
    <t>Brandon Silvers</t>
  </si>
  <si>
    <t>Alex McGough</t>
  </si>
  <si>
    <t>Logan Woodside</t>
  </si>
  <si>
    <t>Danny Etling</t>
  </si>
  <si>
    <t>Bye Week</t>
  </si>
  <si>
    <t>ESPN</t>
  </si>
  <si>
    <t>Scout</t>
  </si>
  <si>
    <t>FantasyPro</t>
  </si>
  <si>
    <t>RotoWire</t>
  </si>
  <si>
    <t>Avg Going Rate</t>
  </si>
  <si>
    <t>Variation</t>
  </si>
  <si>
    <t>Los Ageles Chargers</t>
  </si>
  <si>
    <t>Keeper Price</t>
  </si>
  <si>
    <t>Start Bid</t>
  </si>
  <si>
    <t>Max Bid</t>
  </si>
  <si>
    <t>Amount</t>
  </si>
  <si>
    <t>QB1</t>
  </si>
  <si>
    <t>RB1</t>
  </si>
  <si>
    <t>WR1</t>
  </si>
  <si>
    <t>WR2</t>
  </si>
  <si>
    <t>RB2</t>
  </si>
  <si>
    <t>WR3</t>
  </si>
  <si>
    <t>WR4</t>
  </si>
  <si>
    <t>QB2</t>
  </si>
  <si>
    <t>RB3</t>
  </si>
  <si>
    <t>WR5</t>
  </si>
  <si>
    <t>TE2</t>
  </si>
  <si>
    <t>RB4</t>
  </si>
  <si>
    <t>D/ST2</t>
  </si>
  <si>
    <t>Rotowire</t>
  </si>
  <si>
    <t>Aaron Donald</t>
  </si>
  <si>
    <t>Adoree Jackson</t>
  </si>
  <si>
    <t>Alec Ogletree</t>
  </si>
  <si>
    <t>Bill Belichick</t>
  </si>
  <si>
    <t>Blake Martinez</t>
  </si>
  <si>
    <t>Bobby Wagner</t>
  </si>
  <si>
    <t>Bradley Chubb</t>
  </si>
  <si>
    <t>C.J. Mosley</t>
  </si>
  <si>
    <t>Calais Campbell</t>
  </si>
  <si>
    <t>Cameron Jordan</t>
  </si>
  <si>
    <t>Broncos</t>
  </si>
  <si>
    <t>Chandler Jones</t>
  </si>
  <si>
    <t>Cardinals</t>
  </si>
  <si>
    <t>Chargers</t>
  </si>
  <si>
    <t>Danielle Hunter</t>
  </si>
  <si>
    <t>Deion Jones</t>
  </si>
  <si>
    <t>Demarcus Lawrence</t>
  </si>
  <si>
    <t>Denver</t>
  </si>
  <si>
    <t>Denzel Ward</t>
  </si>
  <si>
    <t>Derwin James</t>
  </si>
  <si>
    <t>Harold Landry</t>
  </si>
  <si>
    <t>Harrison Smith</t>
  </si>
  <si>
    <t>Houston</t>
  </si>
  <si>
    <t>Isaiah Oliver</t>
  </si>
  <si>
    <t>J.J. Watt</t>
  </si>
  <si>
    <t>Jacksonville</t>
  </si>
  <si>
    <t>Jamie Collins</t>
  </si>
  <si>
    <t>Eagles</t>
  </si>
  <si>
    <t>Jaylon Smith</t>
  </si>
  <si>
    <t>Falcons</t>
  </si>
  <si>
    <t>Joey Bosa</t>
  </si>
  <si>
    <t>Keanu Neal</t>
  </si>
  <si>
    <t>Jaguars</t>
  </si>
  <si>
    <t>Khalil Mack</t>
  </si>
  <si>
    <t>Kwon Alexander</t>
  </si>
  <si>
    <t>Landon Collins</t>
  </si>
  <si>
    <t>Lavonte David</t>
  </si>
  <si>
    <t>Los Angeles</t>
  </si>
  <si>
    <t>Luke Kuechly</t>
  </si>
  <si>
    <t>Malik Jefferson</t>
  </si>
  <si>
    <t>Marshon Lattimore</t>
  </si>
  <si>
    <t>Melvin Ingram</t>
  </si>
  <si>
    <t>Minkah Fitzpatrick</t>
  </si>
  <si>
    <t>Minnesota</t>
  </si>
  <si>
    <t>Philadelphia</t>
  </si>
  <si>
    <t>Reshad Jones</t>
  </si>
  <si>
    <t>Roquan Smith</t>
  </si>
  <si>
    <t>Sean Lee</t>
  </si>
  <si>
    <t>Marvin Jones Jr.</t>
  </si>
  <si>
    <t>T.J. Watt</t>
  </si>
  <si>
    <t>Telvin Smith</t>
  </si>
  <si>
    <t>Terrell Edmunds</t>
  </si>
  <si>
    <t>Tre'Davious White</t>
  </si>
  <si>
    <t>Tremaine Edmunds</t>
  </si>
  <si>
    <t>Zach Brown</t>
  </si>
  <si>
    <t>Odell Beckham Jr.</t>
  </si>
  <si>
    <t>Panthers</t>
  </si>
  <si>
    <t>Patriots</t>
  </si>
  <si>
    <t>Rams</t>
  </si>
  <si>
    <t>Ravens</t>
  </si>
  <si>
    <t>Redskins</t>
  </si>
  <si>
    <t>Saints</t>
  </si>
  <si>
    <t>Texans</t>
  </si>
  <si>
    <t>Titans</t>
  </si>
  <si>
    <t>Todd Gurley II</t>
  </si>
  <si>
    <t>Vikings</t>
  </si>
  <si>
    <t>Will Fuller 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</si>
</sst>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6">
    <font>
      <sz val="10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000000"/>
      <name val="Arial"/>
    </font>
    <font>
      <color rgb="FF454545"/>
      <name val="Proxima_regular"/>
    </font>
    <font/>
    <font>
      <color rgb="FF454545"/>
      <name val="Arial"/>
    </font>
    <font>
      <b/>
      <name val="Arial"/>
    </font>
    <font>
      <name val="Arial"/>
    </font>
    <font>
      <b/>
      <sz val="12.0"/>
      <name val="Calibri"/>
    </font>
    <font>
      <sz val="12.0"/>
      <name val="Calibri"/>
    </font>
    <font>
      <b/>
      <color rgb="FF000000"/>
      <name val="Arial"/>
    </font>
    <font>
      <sz val="11.0"/>
      <name val="Helvetica Neue"/>
    </font>
    <font>
      <sz val="11.0"/>
      <color rgb="FF000000"/>
      <name val="Inconsolata"/>
    </font>
    <font>
      <b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808080"/>
      </bottom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80808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164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horizontal="center" readingOrder="0" vertical="bottom"/>
    </xf>
    <xf borderId="2" fillId="0" fontId="2" numFmtId="0" xfId="0" applyAlignment="1" applyBorder="1" applyFont="1">
      <alignment horizontal="center" readingOrder="0" shrinkToFit="0" wrapText="0"/>
    </xf>
    <xf borderId="3" fillId="0" fontId="2" numFmtId="0" xfId="0" applyAlignment="1" applyBorder="1" applyFont="1">
      <alignment horizontal="left" readingOrder="0" shrinkToFit="0" wrapText="0"/>
    </xf>
    <xf borderId="3" fillId="0" fontId="2" numFmtId="164" xfId="0" applyAlignment="1" applyBorder="1" applyFont="1" applyNumberFormat="1">
      <alignment horizontal="center" readingOrder="0" shrinkToFit="0" wrapText="0"/>
    </xf>
    <xf borderId="3" fillId="0" fontId="3" numFmtId="164" xfId="0" applyAlignment="1" applyBorder="1" applyFont="1" applyNumberForma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0" fontId="2" numFmtId="164" xfId="0" applyAlignment="1" applyBorder="1" applyFont="1" applyNumberFormat="1">
      <alignment horizontal="center" readingOrder="0" shrinkToFit="0" wrapText="0"/>
    </xf>
    <xf borderId="1" fillId="0" fontId="3" numFmtId="164" xfId="0" applyAlignment="1" applyBorder="1" applyFont="1" applyNumberFormat="1">
      <alignment horizontal="center" readingOrder="0" shrinkToFit="0" wrapText="0"/>
    </xf>
    <xf borderId="4" fillId="3" fontId="4" numFmtId="0" xfId="0" applyAlignment="1" applyBorder="1" applyFill="1" applyFont="1">
      <alignment horizontal="center" readingOrder="0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5" fillId="3" fontId="4" numFmtId="0" xfId="0" applyAlignment="1" applyBorder="1" applyFont="1">
      <alignment horizontal="center" readingOrder="0"/>
    </xf>
    <xf borderId="5" fillId="3" fontId="4" numFmtId="16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6" fillId="3" fontId="4" numFmtId="0" xfId="0" applyAlignment="1" applyBorder="1" applyFont="1">
      <alignment horizontal="center" readingOrder="0"/>
    </xf>
    <xf borderId="7" fillId="3" fontId="4" numFmtId="0" xfId="0" applyAlignment="1" applyBorder="1" applyFont="1">
      <alignment horizontal="center" readingOrder="0"/>
    </xf>
    <xf borderId="7" fillId="3" fontId="4" numFmtId="164" xfId="0" applyAlignment="1" applyBorder="1" applyFont="1" applyNumberFormat="1">
      <alignment horizontal="center" readingOrder="0"/>
    </xf>
    <xf borderId="1" fillId="3" fontId="6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3" fontId="6" numFmtId="164" xfId="0" applyAlignment="1" applyBorder="1" applyFont="1" applyNumberFormat="1">
      <alignment horizontal="center" readingOrder="0" vertical="bottom"/>
    </xf>
    <xf borderId="1" fillId="4" fontId="7" numFmtId="0" xfId="0" applyAlignment="1" applyBorder="1" applyFill="1" applyFont="1">
      <alignment horizontal="center" readingOrder="0"/>
    </xf>
    <xf borderId="1" fillId="3" fontId="8" numFmtId="0" xfId="0" applyAlignment="1" applyBorder="1" applyFont="1">
      <alignment horizontal="center" readingOrder="0" shrinkToFit="0" wrapText="0"/>
    </xf>
    <xf borderId="1" fillId="3" fontId="8" numFmtId="0" xfId="0" applyAlignment="1" applyBorder="1" applyFont="1">
      <alignment readingOrder="0" shrinkToFit="0" wrapText="0"/>
    </xf>
    <xf borderId="1" fillId="3" fontId="8" numFmtId="164" xfId="0" applyAlignment="1" applyBorder="1" applyFont="1" applyNumberFormat="1">
      <alignment horizontal="center" readingOrder="0" shrinkToFit="0" wrapText="0"/>
    </xf>
    <xf borderId="1" fillId="4" fontId="9" numFmtId="0" xfId="0" applyAlignment="1" applyBorder="1" applyFont="1">
      <alignment horizontal="center" readingOrder="0" shrinkToFit="0" wrapText="0"/>
    </xf>
    <xf borderId="8" fillId="4" fontId="9" numFmtId="0" xfId="0" applyAlignment="1" applyBorder="1" applyFont="1">
      <alignment horizontal="center" readingOrder="0" shrinkToFit="0" wrapText="0"/>
    </xf>
    <xf borderId="8" fillId="4" fontId="9" numFmtId="164" xfId="0" applyAlignment="1" applyBorder="1" applyFont="1" applyNumberFormat="1">
      <alignment horizontal="center" readingOrder="0" shrinkToFit="0" wrapText="0"/>
    </xf>
    <xf borderId="2" fillId="0" fontId="10" numFmtId="0" xfId="0" applyAlignment="1" applyBorder="1" applyFont="1">
      <alignment horizontal="center" readingOrder="0" shrinkToFit="0" wrapText="0"/>
    </xf>
    <xf borderId="3" fillId="0" fontId="10" numFmtId="0" xfId="0" applyAlignment="1" applyBorder="1" applyFont="1">
      <alignment readingOrder="0" shrinkToFit="0" vertical="bottom" wrapText="0"/>
    </xf>
    <xf borderId="3" fillId="0" fontId="10" numFmtId="0" xfId="0" applyAlignment="1" applyBorder="1" applyFont="1">
      <alignment horizontal="center" readingOrder="0" shrinkToFit="0" wrapText="0"/>
    </xf>
    <xf borderId="3" fillId="0" fontId="10" numFmtId="164" xfId="0" applyAlignment="1" applyBorder="1" applyFont="1" applyNumberFormat="1">
      <alignment horizontal="center" readingOrder="0" shrinkToFit="0" wrapText="0"/>
    </xf>
    <xf borderId="1" fillId="0" fontId="10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readingOrder="0" shrinkToFit="0" wrapText="0"/>
    </xf>
    <xf borderId="1" fillId="0" fontId="10" numFmtId="0" xfId="0" applyAlignment="1" applyBorder="1" applyFont="1">
      <alignment readingOrder="0" shrinkToFit="0" wrapText="0"/>
    </xf>
    <xf borderId="1" fillId="0" fontId="10" numFmtId="0" xfId="0" applyAlignment="1" applyBorder="1" applyFont="1">
      <alignment horizontal="center" readingOrder="0" shrinkToFit="0" wrapText="0"/>
    </xf>
    <xf borderId="1" fillId="0" fontId="10" numFmtId="164" xfId="0" applyAlignment="1" applyBorder="1" applyFont="1" applyNumberFormat="1">
      <alignment horizontal="center" readingOrder="0" shrinkToFit="0" wrapText="0"/>
    </xf>
    <xf borderId="1" fillId="4" fontId="11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shrinkToFit="0" wrapText="1"/>
    </xf>
    <xf borderId="2" fillId="3" fontId="12" numFmtId="0" xfId="0" applyAlignment="1" applyBorder="1" applyFont="1">
      <alignment vertical="bottom"/>
    </xf>
    <xf borderId="3" fillId="3" fontId="12" numFmtId="0" xfId="0" applyAlignment="1" applyBorder="1" applyFont="1">
      <alignment horizontal="center" vertical="bottom"/>
    </xf>
    <xf borderId="1" fillId="3" fontId="13" numFmtId="164" xfId="0" applyAlignment="1" applyBorder="1" applyFont="1" applyNumberFormat="1">
      <alignment horizontal="center"/>
    </xf>
    <xf borderId="1" fillId="3" fontId="5" numFmtId="164" xfId="0" applyAlignment="1" applyBorder="1" applyFont="1" applyNumberFormat="1">
      <alignment horizontal="center"/>
    </xf>
    <xf borderId="3" fillId="3" fontId="12" numFmtId="0" xfId="0" applyAlignment="1" applyBorder="1" applyFont="1">
      <alignment horizontal="center" readingOrder="0" vertical="bottom"/>
    </xf>
    <xf borderId="3" fillId="3" fontId="12" numFmtId="0" xfId="0" applyAlignment="1" applyBorder="1" applyFont="1">
      <alignment vertical="bottom"/>
    </xf>
    <xf borderId="2" fillId="3" fontId="12" numFmtId="0" xfId="0" applyAlignment="1" applyBorder="1" applyFont="1">
      <alignment horizontal="right" vertical="bottom"/>
    </xf>
    <xf borderId="2" fillId="0" fontId="12" numFmtId="0" xfId="0" applyAlignment="1" applyBorder="1" applyFont="1">
      <alignment vertical="bottom"/>
    </xf>
    <xf borderId="3" fillId="0" fontId="12" numFmtId="0" xfId="0" applyAlignment="1" applyBorder="1" applyFont="1">
      <alignment horizontal="center" vertical="bottom"/>
    </xf>
    <xf borderId="1" fillId="0" fontId="5" numFmtId="164" xfId="0" applyAlignment="1" applyBorder="1" applyFont="1" applyNumberFormat="1">
      <alignment horizontal="center"/>
    </xf>
    <xf borderId="3" fillId="0" fontId="12" numFmtId="0" xfId="0" applyAlignment="1" applyBorder="1" applyFont="1">
      <alignment vertical="bottom"/>
    </xf>
    <xf borderId="3" fillId="0" fontId="12" numFmtId="0" xfId="0" applyAlignment="1" applyBorder="1" applyFont="1">
      <alignment horizontal="center" readingOrder="0" vertical="bottom"/>
    </xf>
    <xf borderId="1" fillId="4" fontId="11" numFmtId="0" xfId="0" applyAlignment="1" applyBorder="1" applyFont="1">
      <alignment horizontal="center" readingOrder="0" shrinkToFit="0" wrapText="0"/>
    </xf>
    <xf borderId="9" fillId="5" fontId="14" numFmtId="164" xfId="0" applyAlignment="1" applyBorder="1" applyFill="1" applyFont="1" applyNumberFormat="1">
      <alignment horizontal="center"/>
    </xf>
    <xf borderId="3" fillId="0" fontId="5" numFmtId="164" xfId="0" applyAlignment="1" applyBorder="1" applyFont="1" applyNumberForma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10" fillId="6" fontId="14" numFmtId="0" xfId="0" applyAlignment="1" applyBorder="1" applyFill="1" applyFont="1">
      <alignment horizontal="center" readingOrder="0"/>
    </xf>
    <xf borderId="11" fillId="6" fontId="14" numFmtId="0" xfId="0" applyAlignment="1" applyBorder="1" applyFont="1">
      <alignment horizontal="center" readingOrder="0"/>
    </xf>
    <xf borderId="12" fillId="6" fontId="14" numFmtId="0" xfId="0" applyAlignment="1" applyBorder="1" applyFont="1">
      <alignment horizontal="center" readingOrder="0"/>
    </xf>
    <xf borderId="13" fillId="0" fontId="5" numFmtId="0" xfId="0" applyAlignment="1" applyBorder="1" applyFont="1">
      <alignment readingOrder="0"/>
    </xf>
    <xf borderId="14" fillId="0" fontId="5" numFmtId="0" xfId="0" applyAlignment="1" applyBorder="1" applyFont="1">
      <alignment readingOrder="0"/>
    </xf>
    <xf borderId="15" fillId="0" fontId="5" numFmtId="164" xfId="0" applyAlignment="1" applyBorder="1" applyFont="1" applyNumberFormat="1">
      <alignment horizontal="center" readingOrder="0"/>
    </xf>
    <xf borderId="16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7" fillId="0" fontId="5" numFmtId="16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18" fillId="0" fontId="5" numFmtId="0" xfId="0" applyAlignment="1" applyBorder="1" applyFont="1">
      <alignment readingOrder="0"/>
    </xf>
    <xf borderId="19" fillId="0" fontId="5" numFmtId="0" xfId="0" applyAlignment="1" applyBorder="1" applyFont="1">
      <alignment readingOrder="0"/>
    </xf>
    <xf borderId="20" fillId="0" fontId="5" numFmtId="164" xfId="0" applyAlignment="1" applyBorder="1" applyFont="1" applyNumberFormat="1">
      <alignment horizontal="center" readingOrder="0"/>
    </xf>
    <xf borderId="9" fillId="0" fontId="14" numFmtId="164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1" fillId="0" fontId="15" numFmtId="0" xfId="0" applyAlignment="1" applyBorder="1" applyFont="1">
      <alignment horizontal="center" readingOrder="0" shrinkToFit="0" wrapText="0"/>
    </xf>
    <xf borderId="1" fillId="4" fontId="14" numFmtId="0" xfId="0" applyAlignment="1" applyBorder="1" applyFont="1">
      <alignment horizontal="center" readingOrder="0"/>
    </xf>
    <xf borderId="0" fillId="4" fontId="1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fftoolbox.scoutfantasysports.com/profiles/profile_display.cfm?player_id=12610" TargetMode="External"/><Relationship Id="rId42" Type="http://schemas.openxmlformats.org/officeDocument/2006/relationships/hyperlink" Target="https://fftoolbox.scoutfantasysports.com/profiles/profile_display.cfm?player_id=11675" TargetMode="External"/><Relationship Id="rId41" Type="http://schemas.openxmlformats.org/officeDocument/2006/relationships/hyperlink" Target="https://fftoolbox.scoutfantasysports.com/football/teams/team_page.cfm?nfl_team=PHI" TargetMode="External"/><Relationship Id="rId44" Type="http://schemas.openxmlformats.org/officeDocument/2006/relationships/hyperlink" Target="https://fftoolbox.scoutfantasysports.com/profiles/profile_display.cfm?player_id=10261" TargetMode="External"/><Relationship Id="rId43" Type="http://schemas.openxmlformats.org/officeDocument/2006/relationships/hyperlink" Target="https://fftoolbox.scoutfantasysports.com/football/teams/team_page.cfm?nfl_team=GB" TargetMode="External"/><Relationship Id="rId46" Type="http://schemas.openxmlformats.org/officeDocument/2006/relationships/hyperlink" Target="https://fftoolbox.scoutfantasysports.com/profiles/profile_display.cfm?player_id=13130" TargetMode="External"/><Relationship Id="rId45" Type="http://schemas.openxmlformats.org/officeDocument/2006/relationships/hyperlink" Target="https://fftoolbox.scoutfantasysports.com/football/teams/team_page.cfm?nfl_team=CIN" TargetMode="External"/><Relationship Id="rId48" Type="http://schemas.openxmlformats.org/officeDocument/2006/relationships/hyperlink" Target="https://fftoolbox.scoutfantasysports.com/profiles/profile_display.cfm?player_id=10703" TargetMode="External"/><Relationship Id="rId47" Type="http://schemas.openxmlformats.org/officeDocument/2006/relationships/hyperlink" Target="https://fftoolbox.scoutfantasysports.com/football/teams/team_page.cfm?nfl_team=CAR" TargetMode="External"/><Relationship Id="rId49" Type="http://schemas.openxmlformats.org/officeDocument/2006/relationships/hyperlink" Target="https://fftoolbox.scoutfantasysports.com/football/teams/team_page.cfm?nfl_team=SEA" TargetMode="External"/><Relationship Id="rId100" Type="http://schemas.openxmlformats.org/officeDocument/2006/relationships/drawing" Target="../drawings/drawing2.xml"/><Relationship Id="rId31" Type="http://schemas.openxmlformats.org/officeDocument/2006/relationships/hyperlink" Target="https://fftoolbox.scoutfantasysports.com/football/teams/team_page.cfm?nfl_team=GB" TargetMode="External"/><Relationship Id="rId30" Type="http://schemas.openxmlformats.org/officeDocument/2006/relationships/hyperlink" Target="https://fftoolbox.scoutfantasysports.com/profiles/profile_display.cfm?player_id=7836" TargetMode="External"/><Relationship Id="rId33" Type="http://schemas.openxmlformats.org/officeDocument/2006/relationships/hyperlink" Target="https://fftoolbox.scoutfantasysports.com/football/teams/team_page.cfm?nfl_team=LAC" TargetMode="External"/><Relationship Id="rId32" Type="http://schemas.openxmlformats.org/officeDocument/2006/relationships/hyperlink" Target="https://fftoolbox.scoutfantasysports.com/profiles/profile_display.cfm?player_id=11222" TargetMode="External"/><Relationship Id="rId35" Type="http://schemas.openxmlformats.org/officeDocument/2006/relationships/hyperlink" Target="https://fftoolbox.scoutfantasysports.com/football/teams/team_page.cfm?nfl_team=LAC" TargetMode="External"/><Relationship Id="rId34" Type="http://schemas.openxmlformats.org/officeDocument/2006/relationships/hyperlink" Target="https://fftoolbox.scoutfantasysports.com/profiles/profile_display.cfm?player_id=12151" TargetMode="External"/><Relationship Id="rId37" Type="http://schemas.openxmlformats.org/officeDocument/2006/relationships/hyperlink" Target="https://fftoolbox.scoutfantasysports.com/football/teams/team_page.cfm?nfl_team=TB" TargetMode="External"/><Relationship Id="rId36" Type="http://schemas.openxmlformats.org/officeDocument/2006/relationships/hyperlink" Target="https://fftoolbox.scoutfantasysports.com/profiles/profile_display.cfm?player_id=11671" TargetMode="External"/><Relationship Id="rId39" Type="http://schemas.openxmlformats.org/officeDocument/2006/relationships/hyperlink" Target="https://fftoolbox.scoutfantasysports.com/football/teams/team_page.cfm?nfl_team=HOU" TargetMode="External"/><Relationship Id="rId38" Type="http://schemas.openxmlformats.org/officeDocument/2006/relationships/hyperlink" Target="https://fftoolbox.scoutfantasysports.com/profiles/profile_display.cfm?player_id=13113" TargetMode="External"/><Relationship Id="rId20" Type="http://schemas.openxmlformats.org/officeDocument/2006/relationships/hyperlink" Target="https://fftoolbox.scoutfantasysports.com/football/teams/team_page.cfm?nfl_team=NO" TargetMode="External"/><Relationship Id="rId22" Type="http://schemas.openxmlformats.org/officeDocument/2006/relationships/hyperlink" Target="https://fftoolbox.scoutfantasysports.com/football/teams/team_page.cfm?nfl_team=WAS" TargetMode="External"/><Relationship Id="rId21" Type="http://schemas.openxmlformats.org/officeDocument/2006/relationships/hyperlink" Target="https://fftoolbox.scoutfantasysports.com/profiles/profile_display.cfm?player_id=13605" TargetMode="External"/><Relationship Id="rId24" Type="http://schemas.openxmlformats.org/officeDocument/2006/relationships/hyperlink" Target="https://fftoolbox.scoutfantasysports.com/football/teams/team_page.cfm?nfl_team=ATL" TargetMode="External"/><Relationship Id="rId23" Type="http://schemas.openxmlformats.org/officeDocument/2006/relationships/hyperlink" Target="https://fftoolbox.scoutfantasysports.com/profiles/profile_display.cfm?player_id=10271" TargetMode="External"/><Relationship Id="rId26" Type="http://schemas.openxmlformats.org/officeDocument/2006/relationships/hyperlink" Target="https://fftoolbox.scoutfantasysports.com/football/teams/team_page.cfm?nfl_team=KC" TargetMode="External"/><Relationship Id="rId25" Type="http://schemas.openxmlformats.org/officeDocument/2006/relationships/hyperlink" Target="https://fftoolbox.scoutfantasysports.com/profiles/profile_display.cfm?player_id=13138" TargetMode="External"/><Relationship Id="rId28" Type="http://schemas.openxmlformats.org/officeDocument/2006/relationships/hyperlink" Target="https://fftoolbox.scoutfantasysports.com/profiles/profile_display.cfm?player_id=13128" TargetMode="External"/><Relationship Id="rId27" Type="http://schemas.openxmlformats.org/officeDocument/2006/relationships/hyperlink" Target="https://fftoolbox.scoutfantasysports.com/profiles/profile_display.cfm?player_id=13129" TargetMode="External"/><Relationship Id="rId29" Type="http://schemas.openxmlformats.org/officeDocument/2006/relationships/hyperlink" Target="https://fftoolbox.scoutfantasysports.com/football/teams/team_page.cfm?nfl_team=MIN" TargetMode="External"/><Relationship Id="rId95" Type="http://schemas.openxmlformats.org/officeDocument/2006/relationships/hyperlink" Target="https://fftoolbox.scoutfantasysports.com/football/teams/team_page.cfm?nfl_team=DEN" TargetMode="External"/><Relationship Id="rId94" Type="http://schemas.openxmlformats.org/officeDocument/2006/relationships/hyperlink" Target="https://fftoolbox.scoutfantasysports.com/profiles/profile_display.cfm?player_id=13617" TargetMode="External"/><Relationship Id="rId97" Type="http://schemas.openxmlformats.org/officeDocument/2006/relationships/hyperlink" Target="https://fftoolbox.scoutfantasysports.com/football/teams/team_page.cfm?nfl_team=CHI" TargetMode="External"/><Relationship Id="rId96" Type="http://schemas.openxmlformats.org/officeDocument/2006/relationships/hyperlink" Target="https://fftoolbox.scoutfantasysports.com/profiles/profile_display.cfm?player_id=11678" TargetMode="External"/><Relationship Id="rId11" Type="http://schemas.openxmlformats.org/officeDocument/2006/relationships/hyperlink" Target="https://fftoolbox.scoutfantasysports.com/profiles/profile_display.cfm?player_id=12171" TargetMode="External"/><Relationship Id="rId99" Type="http://schemas.openxmlformats.org/officeDocument/2006/relationships/hyperlink" Target="https://fftoolbox.scoutfantasysports.com/football/teams/team_page.cfm?nfl_team=DET" TargetMode="External"/><Relationship Id="rId10" Type="http://schemas.openxmlformats.org/officeDocument/2006/relationships/hyperlink" Target="https://fftoolbox.scoutfantasysports.com/football/teams/team_page.cfm?nfl_team=PIT" TargetMode="External"/><Relationship Id="rId98" Type="http://schemas.openxmlformats.org/officeDocument/2006/relationships/hyperlink" Target="https://fftoolbox.scoutfantasysports.com/profiles/profile_display.cfm?player_id=13612" TargetMode="External"/><Relationship Id="rId13" Type="http://schemas.openxmlformats.org/officeDocument/2006/relationships/hyperlink" Target="https://fftoolbox.scoutfantasysports.com/profiles/profile_display.cfm?player_id=11232" TargetMode="External"/><Relationship Id="rId12" Type="http://schemas.openxmlformats.org/officeDocument/2006/relationships/hyperlink" Target="https://fftoolbox.scoutfantasysports.com/football/teams/team_page.cfm?nfl_team=ARI" TargetMode="External"/><Relationship Id="rId91" Type="http://schemas.openxmlformats.org/officeDocument/2006/relationships/hyperlink" Target="https://fftoolbox.scoutfantasysports.com/football/teams/team_page.cfm?nfl_team=MIN" TargetMode="External"/><Relationship Id="rId90" Type="http://schemas.openxmlformats.org/officeDocument/2006/relationships/hyperlink" Target="https://fftoolbox.scoutfantasysports.com/profiles/profile_display.cfm?player_id=11938" TargetMode="External"/><Relationship Id="rId93" Type="http://schemas.openxmlformats.org/officeDocument/2006/relationships/hyperlink" Target="https://fftoolbox.scoutfantasysports.com/football/teams/team_page.cfm?nfl_team=PIT" TargetMode="External"/><Relationship Id="rId92" Type="http://schemas.openxmlformats.org/officeDocument/2006/relationships/hyperlink" Target="https://fftoolbox.scoutfantasysports.com/profiles/profile_display.cfm?player_id=13156" TargetMode="External"/><Relationship Id="rId15" Type="http://schemas.openxmlformats.org/officeDocument/2006/relationships/hyperlink" Target="https://fftoolbox.scoutfantasysports.com/profiles/profile_display.cfm?player_id=11679" TargetMode="External"/><Relationship Id="rId14" Type="http://schemas.openxmlformats.org/officeDocument/2006/relationships/hyperlink" Target="https://fftoolbox.scoutfantasysports.com/football/teams/team_page.cfm?nfl_team=HOU" TargetMode="External"/><Relationship Id="rId17" Type="http://schemas.openxmlformats.org/officeDocument/2006/relationships/hyperlink" Target="https://fftoolbox.scoutfantasysports.com/profiles/profile_display.cfm?player_id=13132" TargetMode="External"/><Relationship Id="rId16" Type="http://schemas.openxmlformats.org/officeDocument/2006/relationships/hyperlink" Target="https://fftoolbox.scoutfantasysports.com/football/teams/team_page.cfm?nfl_team=NYG" TargetMode="External"/><Relationship Id="rId19" Type="http://schemas.openxmlformats.org/officeDocument/2006/relationships/hyperlink" Target="https://fftoolbox.scoutfantasysports.com/profiles/profile_display.cfm?player_id=12652" TargetMode="External"/><Relationship Id="rId18" Type="http://schemas.openxmlformats.org/officeDocument/2006/relationships/hyperlink" Target="https://fftoolbox.scoutfantasysports.com/football/teams/team_page.cfm?nfl_team=NO" TargetMode="External"/><Relationship Id="rId84" Type="http://schemas.openxmlformats.org/officeDocument/2006/relationships/hyperlink" Target="https://fftoolbox.scoutfantasysports.com/profiles/profile_display.cfm?player_id=10273" TargetMode="External"/><Relationship Id="rId83" Type="http://schemas.openxmlformats.org/officeDocument/2006/relationships/hyperlink" Target="https://fftoolbox.scoutfantasysports.com/football/teams/team_page.cfm?nfl_team=PHI" TargetMode="External"/><Relationship Id="rId86" Type="http://schemas.openxmlformats.org/officeDocument/2006/relationships/hyperlink" Target="https://fftoolbox.scoutfantasysports.com/profiles/profile_display.cfm?player_id=11760" TargetMode="External"/><Relationship Id="rId85" Type="http://schemas.openxmlformats.org/officeDocument/2006/relationships/hyperlink" Target="https://fftoolbox.scoutfantasysports.com/football/teams/team_page.cfm?nfl_team=CAR" TargetMode="External"/><Relationship Id="rId88" Type="http://schemas.openxmlformats.org/officeDocument/2006/relationships/hyperlink" Target="https://fftoolbox.scoutfantasysports.com/profiles/profile_display.cfm?player_id=10729" TargetMode="External"/><Relationship Id="rId87" Type="http://schemas.openxmlformats.org/officeDocument/2006/relationships/hyperlink" Target="https://fftoolbox.scoutfantasysports.com/football/teams/team_page.cfm?nfl_team=SF" TargetMode="External"/><Relationship Id="rId89" Type="http://schemas.openxmlformats.org/officeDocument/2006/relationships/hyperlink" Target="https://fftoolbox.scoutfantasysports.com/football/teams/team_page.cfm?nfl_team=IND" TargetMode="External"/><Relationship Id="rId80" Type="http://schemas.openxmlformats.org/officeDocument/2006/relationships/hyperlink" Target="https://fftoolbox.scoutfantasysports.com/profiles/profile_display.cfm?player_id=13610" TargetMode="External"/><Relationship Id="rId82" Type="http://schemas.openxmlformats.org/officeDocument/2006/relationships/hyperlink" Target="https://fftoolbox.scoutfantasysports.com/profiles/profile_display.cfm?player_id=11247" TargetMode="External"/><Relationship Id="rId81" Type="http://schemas.openxmlformats.org/officeDocument/2006/relationships/hyperlink" Target="https://fftoolbox.scoutfantasysports.com/football/teams/team_page.cfm?nfl_team=CLE" TargetMode="External"/><Relationship Id="rId1" Type="http://schemas.openxmlformats.org/officeDocument/2006/relationships/hyperlink" Target="https://fftoolbox.scoutfantasysports.com/profiles/profile_display.cfm?player_id=13604" TargetMode="External"/><Relationship Id="rId2" Type="http://schemas.openxmlformats.org/officeDocument/2006/relationships/hyperlink" Target="https://fftoolbox.scoutfantasysports.com/football/teams/team_page.cfm?nfl_team=NYG" TargetMode="External"/><Relationship Id="rId3" Type="http://schemas.openxmlformats.org/officeDocument/2006/relationships/hyperlink" Target="https://fftoolbox.scoutfantasysports.com/profiles/profile_display.cfm?player_id=12150" TargetMode="External"/><Relationship Id="rId4" Type="http://schemas.openxmlformats.org/officeDocument/2006/relationships/hyperlink" Target="https://fftoolbox.scoutfantasysports.com/football/teams/team_page.cfm?nfl_team=LAR" TargetMode="External"/><Relationship Id="rId9" Type="http://schemas.openxmlformats.org/officeDocument/2006/relationships/hyperlink" Target="https://fftoolbox.scoutfantasysports.com/profiles/profile_display.cfm?player_id=11192" TargetMode="External"/><Relationship Id="rId5" Type="http://schemas.openxmlformats.org/officeDocument/2006/relationships/hyperlink" Target="https://fftoolbox.scoutfantasysports.com/profiles/profile_display.cfm?player_id=12625" TargetMode="External"/><Relationship Id="rId6" Type="http://schemas.openxmlformats.org/officeDocument/2006/relationships/hyperlink" Target="https://fftoolbox.scoutfantasysports.com/football/teams/team_page.cfm?nfl_team=DAL" TargetMode="External"/><Relationship Id="rId7" Type="http://schemas.openxmlformats.org/officeDocument/2006/relationships/hyperlink" Target="https://fftoolbox.scoutfantasysports.com/profiles/profile_display.cfm?player_id=9988" TargetMode="External"/><Relationship Id="rId8" Type="http://schemas.openxmlformats.org/officeDocument/2006/relationships/hyperlink" Target="https://fftoolbox.scoutfantasysports.com/football/teams/team_page.cfm?nfl_team=PIT" TargetMode="External"/><Relationship Id="rId73" Type="http://schemas.openxmlformats.org/officeDocument/2006/relationships/hyperlink" Target="https://fftoolbox.scoutfantasysports.com/football/teams/team_page.cfm?nfl_team=NE" TargetMode="External"/><Relationship Id="rId72" Type="http://schemas.openxmlformats.org/officeDocument/2006/relationships/hyperlink" Target="https://fftoolbox.scoutfantasysports.com/profiles/profile_display.cfm?player_id=13607" TargetMode="External"/><Relationship Id="rId75" Type="http://schemas.openxmlformats.org/officeDocument/2006/relationships/hyperlink" Target="https://fftoolbox.scoutfantasysports.com/football/teams/team_page.cfm?nfl_team=ARI" TargetMode="External"/><Relationship Id="rId74" Type="http://schemas.openxmlformats.org/officeDocument/2006/relationships/hyperlink" Target="https://fftoolbox.scoutfantasysports.com/profiles/profile_display.cfm?player_id=13591" TargetMode="External"/><Relationship Id="rId77" Type="http://schemas.openxmlformats.org/officeDocument/2006/relationships/hyperlink" Target="https://fftoolbox.scoutfantasysports.com/football/teams/team_page.cfm?nfl_team=TB" TargetMode="External"/><Relationship Id="rId76" Type="http://schemas.openxmlformats.org/officeDocument/2006/relationships/hyperlink" Target="https://fftoolbox.scoutfantasysports.com/profiles/profile_display.cfm?player_id=13606" TargetMode="External"/><Relationship Id="rId79" Type="http://schemas.openxmlformats.org/officeDocument/2006/relationships/hyperlink" Target="https://fftoolbox.scoutfantasysports.com/football/teams/team_page.cfm?nfl_team=CLE" TargetMode="External"/><Relationship Id="rId78" Type="http://schemas.openxmlformats.org/officeDocument/2006/relationships/hyperlink" Target="https://fftoolbox.scoutfantasysports.com/profiles/profile_display.cfm?player_id=13590" TargetMode="External"/><Relationship Id="rId71" Type="http://schemas.openxmlformats.org/officeDocument/2006/relationships/hyperlink" Target="https://fftoolbox.scoutfantasysports.com/football/teams/team_page.cfm?nfl_team=CHI" TargetMode="External"/><Relationship Id="rId70" Type="http://schemas.openxmlformats.org/officeDocument/2006/relationships/hyperlink" Target="https://fftoolbox.scoutfantasysports.com/profiles/profile_display.cfm?player_id=12634" TargetMode="External"/><Relationship Id="rId62" Type="http://schemas.openxmlformats.org/officeDocument/2006/relationships/hyperlink" Target="https://fftoolbox.scoutfantasysports.com/profiles/profile_display.cfm?player_id=12801" TargetMode="External"/><Relationship Id="rId61" Type="http://schemas.openxmlformats.org/officeDocument/2006/relationships/hyperlink" Target="https://fftoolbox.scoutfantasysports.com/football/teams/team_page.cfm?nfl_team=MIN" TargetMode="External"/><Relationship Id="rId64" Type="http://schemas.openxmlformats.org/officeDocument/2006/relationships/hyperlink" Target="https://fftoolbox.scoutfantasysports.com/profiles/profile_display.cfm?player_id=11761" TargetMode="External"/><Relationship Id="rId63" Type="http://schemas.openxmlformats.org/officeDocument/2006/relationships/hyperlink" Target="https://fftoolbox.scoutfantasysports.com/football/teams/team_page.cfm?nfl_team=KC" TargetMode="External"/><Relationship Id="rId66" Type="http://schemas.openxmlformats.org/officeDocument/2006/relationships/hyperlink" Target="https://fftoolbox.scoutfantasysports.com/profiles/profile_display.cfm?player_id=9448" TargetMode="External"/><Relationship Id="rId65" Type="http://schemas.openxmlformats.org/officeDocument/2006/relationships/hyperlink" Target="https://fftoolbox.scoutfantasysports.com/football/teams/team_page.cfm?nfl_team=SF" TargetMode="External"/><Relationship Id="rId68" Type="http://schemas.openxmlformats.org/officeDocument/2006/relationships/hyperlink" Target="https://fftoolbox.scoutfantasysports.com/profiles/profile_display.cfm?player_id=12175" TargetMode="External"/><Relationship Id="rId67" Type="http://schemas.openxmlformats.org/officeDocument/2006/relationships/hyperlink" Target="https://fftoolbox.scoutfantasysports.com/football/teams/team_page.cfm?nfl_team=BUF" TargetMode="External"/><Relationship Id="rId60" Type="http://schemas.openxmlformats.org/officeDocument/2006/relationships/hyperlink" Target="https://fftoolbox.scoutfantasysports.com/profiles/profile_display.cfm?player_id=12186" TargetMode="External"/><Relationship Id="rId69" Type="http://schemas.openxmlformats.org/officeDocument/2006/relationships/hyperlink" Target="https://fftoolbox.scoutfantasysports.com/football/teams/team_page.cfm?nfl_team=OAK" TargetMode="External"/><Relationship Id="rId51" Type="http://schemas.openxmlformats.org/officeDocument/2006/relationships/hyperlink" Target="https://fftoolbox.scoutfantasysports.com/football/teams/team_page.cfm?nfl_team=SEA" TargetMode="External"/><Relationship Id="rId50" Type="http://schemas.openxmlformats.org/officeDocument/2006/relationships/hyperlink" Target="https://fftoolbox.scoutfantasysports.com/profiles/profile_display.cfm?player_id=13608" TargetMode="External"/><Relationship Id="rId53" Type="http://schemas.openxmlformats.org/officeDocument/2006/relationships/hyperlink" Target="https://fftoolbox.scoutfantasysports.com/football/teams/team_page.cfm?nfl_team=CIN" TargetMode="External"/><Relationship Id="rId52" Type="http://schemas.openxmlformats.org/officeDocument/2006/relationships/hyperlink" Target="https://fftoolbox.scoutfantasysports.com/profiles/profile_display.cfm?player_id=13131" TargetMode="External"/><Relationship Id="rId55" Type="http://schemas.openxmlformats.org/officeDocument/2006/relationships/hyperlink" Target="https://fftoolbox.scoutfantasysports.com/football/teams/team_page.cfm?nfl_team=ATL" TargetMode="External"/><Relationship Id="rId54" Type="http://schemas.openxmlformats.org/officeDocument/2006/relationships/hyperlink" Target="https://fftoolbox.scoutfantasysports.com/profiles/profile_display.cfm?player_id=11660" TargetMode="External"/><Relationship Id="rId57" Type="http://schemas.openxmlformats.org/officeDocument/2006/relationships/hyperlink" Target="https://fftoolbox.scoutfantasysports.com/football/teams/team_page.cfm?nfl_team=KC" TargetMode="External"/><Relationship Id="rId56" Type="http://schemas.openxmlformats.org/officeDocument/2006/relationships/hyperlink" Target="https://fftoolbox.scoutfantasysports.com/profiles/profile_display.cfm?player_id=11244" TargetMode="External"/><Relationship Id="rId59" Type="http://schemas.openxmlformats.org/officeDocument/2006/relationships/hyperlink" Target="https://fftoolbox.scoutfantasysports.com/football/teams/team_page.cfm?nfl_team=NE" TargetMode="External"/><Relationship Id="rId58" Type="http://schemas.openxmlformats.org/officeDocument/2006/relationships/hyperlink" Target="https://fftoolbox.scoutfantasysports.com/profiles/profile_display.cfm?player_id=9902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fftoolbox.scoutfantasysports.com/profiles/profile_display.cfm?player_id=13606" TargetMode="External"/><Relationship Id="rId42" Type="http://schemas.openxmlformats.org/officeDocument/2006/relationships/hyperlink" Target="https://fftoolbox.scoutfantasysports.com/profiles/profile_display.cfm?player_id=10703" TargetMode="External"/><Relationship Id="rId41" Type="http://schemas.openxmlformats.org/officeDocument/2006/relationships/hyperlink" Target="https://fftoolbox.scoutfantasysports.com/profiles/profile_display.cfm?player_id=13617" TargetMode="External"/><Relationship Id="rId44" Type="http://schemas.openxmlformats.org/officeDocument/2006/relationships/hyperlink" Target="https://fftoolbox.scoutfantasysports.com/profiles/profile_display.cfm?player_id=13607" TargetMode="External"/><Relationship Id="rId43" Type="http://schemas.openxmlformats.org/officeDocument/2006/relationships/hyperlink" Target="https://fftoolbox.scoutfantasysports.com/profiles/profile_display.cfm?player_id=13604" TargetMode="External"/><Relationship Id="rId46" Type="http://schemas.openxmlformats.org/officeDocument/2006/relationships/hyperlink" Target="https://fftoolbox.scoutfantasysports.com/profiles/profile_display.cfm?player_id=10729" TargetMode="External"/><Relationship Id="rId45" Type="http://schemas.openxmlformats.org/officeDocument/2006/relationships/hyperlink" Target="https://fftoolbox.scoutfantasysports.com/profiles/profile_display.cfm?player_id=12186" TargetMode="External"/><Relationship Id="rId48" Type="http://schemas.openxmlformats.org/officeDocument/2006/relationships/hyperlink" Target="https://fftoolbox.scoutfantasysports.com/profiles/profile_display.cfm?player_id=11244" TargetMode="External"/><Relationship Id="rId47" Type="http://schemas.openxmlformats.org/officeDocument/2006/relationships/hyperlink" Target="https://fftoolbox.scoutfantasysports.com/profiles/profile_display.cfm?player_id=12150" TargetMode="External"/><Relationship Id="rId49" Type="http://schemas.openxmlformats.org/officeDocument/2006/relationships/hyperlink" Target="https://fftoolbox.scoutfantasysports.com/profiles/profile_display.cfm?player_id=12801" TargetMode="External"/><Relationship Id="rId31" Type="http://schemas.openxmlformats.org/officeDocument/2006/relationships/hyperlink" Target="https://fftoolbox.scoutfantasysports.com/profiles/profile_display.cfm?player_id=13129" TargetMode="External"/><Relationship Id="rId30" Type="http://schemas.openxmlformats.org/officeDocument/2006/relationships/hyperlink" Target="https://fftoolbox.scoutfantasysports.com/profiles/profile_display.cfm?player_id=11192" TargetMode="External"/><Relationship Id="rId33" Type="http://schemas.openxmlformats.org/officeDocument/2006/relationships/hyperlink" Target="https://fftoolbox.scoutfantasysports.com/profiles/profile_display.cfm?player_id=12151" TargetMode="External"/><Relationship Id="rId32" Type="http://schemas.openxmlformats.org/officeDocument/2006/relationships/hyperlink" Target="https://fftoolbox.scoutfantasysports.com/profiles/profile_display.cfm?player_id=9448" TargetMode="External"/><Relationship Id="rId35" Type="http://schemas.openxmlformats.org/officeDocument/2006/relationships/hyperlink" Target="https://fftoolbox.scoutfantasysports.com/profiles/profile_display.cfm?player_id=11671" TargetMode="External"/><Relationship Id="rId34" Type="http://schemas.openxmlformats.org/officeDocument/2006/relationships/hyperlink" Target="https://fftoolbox.scoutfantasysports.com/profiles/profile_display.cfm?player_id=12652" TargetMode="External"/><Relationship Id="rId37" Type="http://schemas.openxmlformats.org/officeDocument/2006/relationships/hyperlink" Target="https://fftoolbox.scoutfantasysports.com/profiles/profile_display.cfm?player_id=11679" TargetMode="External"/><Relationship Id="rId36" Type="http://schemas.openxmlformats.org/officeDocument/2006/relationships/hyperlink" Target="https://fftoolbox.scoutfantasysports.com/profiles/profile_display.cfm?player_id=13610" TargetMode="External"/><Relationship Id="rId39" Type="http://schemas.openxmlformats.org/officeDocument/2006/relationships/hyperlink" Target="https://fftoolbox.scoutfantasysports.com/profiles/profile_display.cfm?player_id=9902" TargetMode="External"/><Relationship Id="rId38" Type="http://schemas.openxmlformats.org/officeDocument/2006/relationships/hyperlink" Target="https://fftoolbox.scoutfantasysports.com/profiles/profile_display.cfm?player_id=13608" TargetMode="External"/><Relationship Id="rId20" Type="http://schemas.openxmlformats.org/officeDocument/2006/relationships/hyperlink" Target="https://fftoolbox.scoutfantasysports.com/profiles/profile_display.cfm?player_id=11761" TargetMode="External"/><Relationship Id="rId22" Type="http://schemas.openxmlformats.org/officeDocument/2006/relationships/hyperlink" Target="https://fftoolbox.scoutfantasysports.com/profiles/profile_display.cfm?player_id=13131" TargetMode="External"/><Relationship Id="rId21" Type="http://schemas.openxmlformats.org/officeDocument/2006/relationships/hyperlink" Target="https://fftoolbox.scoutfantasysports.com/profiles/profile_display.cfm?player_id=11760" TargetMode="External"/><Relationship Id="rId24" Type="http://schemas.openxmlformats.org/officeDocument/2006/relationships/hyperlink" Target="https://fftoolbox.scoutfantasysports.com/profiles/profile_display.cfm?player_id=13591" TargetMode="External"/><Relationship Id="rId23" Type="http://schemas.openxmlformats.org/officeDocument/2006/relationships/hyperlink" Target="https://fftoolbox.scoutfantasysports.com/profiles/profile_display.cfm?player_id=12634" TargetMode="External"/><Relationship Id="rId26" Type="http://schemas.openxmlformats.org/officeDocument/2006/relationships/hyperlink" Target="https://fftoolbox.scoutfantasysports.com/profiles/profile_display.cfm?player_id=10271" TargetMode="External"/><Relationship Id="rId25" Type="http://schemas.openxmlformats.org/officeDocument/2006/relationships/hyperlink" Target="https://fftoolbox.scoutfantasysports.com/profiles/profile_display.cfm?player_id=13156" TargetMode="External"/><Relationship Id="rId28" Type="http://schemas.openxmlformats.org/officeDocument/2006/relationships/hyperlink" Target="https://fftoolbox.scoutfantasysports.com/profiles/profile_display.cfm?player_id=11222" TargetMode="External"/><Relationship Id="rId27" Type="http://schemas.openxmlformats.org/officeDocument/2006/relationships/hyperlink" Target="https://fftoolbox.scoutfantasysports.com/profiles/profile_display.cfm?player_id=13138" TargetMode="External"/><Relationship Id="rId29" Type="http://schemas.openxmlformats.org/officeDocument/2006/relationships/hyperlink" Target="https://fftoolbox.scoutfantasysports.com/profiles/profile_display.cfm?player_id=13612" TargetMode="External"/><Relationship Id="rId11" Type="http://schemas.openxmlformats.org/officeDocument/2006/relationships/hyperlink" Target="https://fftoolbox.scoutfantasysports.com/profiles/profile_display.cfm?player_id=13130" TargetMode="External"/><Relationship Id="rId10" Type="http://schemas.openxmlformats.org/officeDocument/2006/relationships/hyperlink" Target="https://fftoolbox.scoutfantasysports.com/profiles/profile_display.cfm?player_id=12610" TargetMode="External"/><Relationship Id="rId13" Type="http://schemas.openxmlformats.org/officeDocument/2006/relationships/hyperlink" Target="https://fftoolbox.scoutfantasysports.com/profiles/profile_display.cfm?player_id=11675" TargetMode="External"/><Relationship Id="rId12" Type="http://schemas.openxmlformats.org/officeDocument/2006/relationships/hyperlink" Target="https://fftoolbox.scoutfantasysports.com/profiles/profile_display.cfm?player_id=13128" TargetMode="External"/><Relationship Id="rId15" Type="http://schemas.openxmlformats.org/officeDocument/2006/relationships/hyperlink" Target="https://fftoolbox.scoutfantasysports.com/profiles/profile_display.cfm?player_id=11232" TargetMode="External"/><Relationship Id="rId14" Type="http://schemas.openxmlformats.org/officeDocument/2006/relationships/hyperlink" Target="https://fftoolbox.scoutfantasysports.com/profiles/profile_display.cfm?player_id=12171" TargetMode="External"/><Relationship Id="rId17" Type="http://schemas.openxmlformats.org/officeDocument/2006/relationships/hyperlink" Target="https://fftoolbox.scoutfantasysports.com/profiles/profile_display.cfm?player_id=13113" TargetMode="External"/><Relationship Id="rId16" Type="http://schemas.openxmlformats.org/officeDocument/2006/relationships/hyperlink" Target="https://fftoolbox.scoutfantasysports.com/profiles/profile_display.cfm?player_id=13605" TargetMode="External"/><Relationship Id="rId19" Type="http://schemas.openxmlformats.org/officeDocument/2006/relationships/hyperlink" Target="https://fftoolbox.scoutfantasysports.com/profiles/profile_display.cfm?player_id=12625" TargetMode="External"/><Relationship Id="rId18" Type="http://schemas.openxmlformats.org/officeDocument/2006/relationships/hyperlink" Target="https://fftoolbox.scoutfantasysports.com/profiles/profile_display.cfm?player_id=11660" TargetMode="External"/><Relationship Id="rId1" Type="http://schemas.openxmlformats.org/officeDocument/2006/relationships/hyperlink" Target="https://fftoolbox.scoutfantasysports.com/profiles/profile_display.cfm?player_id=10261" TargetMode="External"/><Relationship Id="rId2" Type="http://schemas.openxmlformats.org/officeDocument/2006/relationships/hyperlink" Target="https://fftoolbox.scoutfantasysports.com/profiles/profile_display.cfm?player_id=7836" TargetMode="External"/><Relationship Id="rId3" Type="http://schemas.openxmlformats.org/officeDocument/2006/relationships/hyperlink" Target="https://fftoolbox.scoutfantasysports.com/profiles/profile_display.cfm?player_id=11938" TargetMode="External"/><Relationship Id="rId4" Type="http://schemas.openxmlformats.org/officeDocument/2006/relationships/hyperlink" Target="https://fftoolbox.scoutfantasysports.com/profiles/profile_display.cfm?player_id=11678" TargetMode="External"/><Relationship Id="rId9" Type="http://schemas.openxmlformats.org/officeDocument/2006/relationships/hyperlink" Target="https://fftoolbox.scoutfantasysports.com/profiles/profile_display.cfm?player_id=10273" TargetMode="External"/><Relationship Id="rId5" Type="http://schemas.openxmlformats.org/officeDocument/2006/relationships/hyperlink" Target="https://fftoolbox.scoutfantasysports.com/profiles/profile_display.cfm?player_id=13132" TargetMode="External"/><Relationship Id="rId6" Type="http://schemas.openxmlformats.org/officeDocument/2006/relationships/hyperlink" Target="https://fftoolbox.scoutfantasysports.com/profiles/profile_display.cfm?player_id=12175" TargetMode="External"/><Relationship Id="rId7" Type="http://schemas.openxmlformats.org/officeDocument/2006/relationships/hyperlink" Target="https://fftoolbox.scoutfantasysports.com/profiles/profile_display.cfm?player_id=9988" TargetMode="External"/><Relationship Id="rId8" Type="http://schemas.openxmlformats.org/officeDocument/2006/relationships/hyperlink" Target="https://fftoolbox.scoutfantasysports.com/profiles/profile_display.cfm?player_id=13590" TargetMode="External"/><Relationship Id="rId51" Type="http://schemas.openxmlformats.org/officeDocument/2006/relationships/drawing" Target="../drawings/drawing8.xml"/><Relationship Id="rId50" Type="http://schemas.openxmlformats.org/officeDocument/2006/relationships/hyperlink" Target="https://fftoolbox.scoutfantasysports.com/profiles/profile_display.cfm?player_id=112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7.75"/>
    <col customWidth="1" min="3" max="3" width="5.13"/>
    <col customWidth="1" min="4" max="4" width="7.0"/>
    <col customWidth="1" min="5" max="5" width="7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</row>
    <row r="2">
      <c r="A2" s="4">
        <v>1.0</v>
      </c>
      <c r="B2" s="5" t="s">
        <v>5</v>
      </c>
      <c r="C2" s="6" t="s">
        <v>6</v>
      </c>
      <c r="D2" s="6" t="s">
        <v>7</v>
      </c>
      <c r="E2" s="7">
        <v>29.0</v>
      </c>
    </row>
    <row r="3">
      <c r="A3" s="8">
        <v>2.0</v>
      </c>
      <c r="B3" s="9" t="s">
        <v>8</v>
      </c>
      <c r="C3" s="10" t="s">
        <v>9</v>
      </c>
      <c r="D3" s="10" t="s">
        <v>7</v>
      </c>
      <c r="E3" s="11">
        <v>28.0</v>
      </c>
    </row>
    <row r="4">
      <c r="A4" s="8">
        <v>3.0</v>
      </c>
      <c r="B4" s="9" t="s">
        <v>10</v>
      </c>
      <c r="C4" s="10" t="s">
        <v>11</v>
      </c>
      <c r="D4" s="10" t="s">
        <v>7</v>
      </c>
      <c r="E4" s="11">
        <v>28.0</v>
      </c>
    </row>
    <row r="5">
      <c r="A5" s="8">
        <v>4.0</v>
      </c>
      <c r="B5" s="9" t="s">
        <v>12</v>
      </c>
      <c r="C5" s="10" t="s">
        <v>13</v>
      </c>
      <c r="D5" s="10" t="s">
        <v>7</v>
      </c>
      <c r="E5" s="11">
        <v>27.0</v>
      </c>
    </row>
    <row r="6">
      <c r="A6" s="8">
        <v>5.0</v>
      </c>
      <c r="B6" s="9" t="s">
        <v>14</v>
      </c>
      <c r="C6" s="10" t="s">
        <v>15</v>
      </c>
      <c r="D6" s="10" t="s">
        <v>7</v>
      </c>
      <c r="E6" s="11">
        <v>5.0</v>
      </c>
    </row>
    <row r="7">
      <c r="A7" s="8">
        <v>5.0</v>
      </c>
      <c r="B7" s="9" t="s">
        <v>16</v>
      </c>
      <c r="C7" s="10" t="s">
        <v>6</v>
      </c>
      <c r="D7" s="10" t="s">
        <v>17</v>
      </c>
      <c r="E7" s="11">
        <v>26.0</v>
      </c>
    </row>
    <row r="8">
      <c r="A8" s="8">
        <v>6.0</v>
      </c>
      <c r="B8" s="9" t="s">
        <v>18</v>
      </c>
      <c r="C8" s="10" t="s">
        <v>19</v>
      </c>
      <c r="D8" s="10" t="s">
        <v>7</v>
      </c>
      <c r="E8" s="11">
        <v>26.0</v>
      </c>
    </row>
    <row r="9">
      <c r="A9" s="8">
        <v>7.0</v>
      </c>
      <c r="B9" s="9" t="s">
        <v>20</v>
      </c>
      <c r="C9" s="10" t="s">
        <v>21</v>
      </c>
      <c r="D9" s="10" t="s">
        <v>7</v>
      </c>
      <c r="E9" s="11">
        <v>25.0</v>
      </c>
    </row>
    <row r="10">
      <c r="A10" s="8">
        <v>8.0</v>
      </c>
      <c r="B10" s="9" t="s">
        <v>22</v>
      </c>
      <c r="C10" s="10" t="s">
        <v>23</v>
      </c>
      <c r="D10" s="10" t="s">
        <v>17</v>
      </c>
      <c r="E10" s="11">
        <v>25.0</v>
      </c>
    </row>
    <row r="11">
      <c r="A11" s="8">
        <v>9.0</v>
      </c>
      <c r="B11" s="9" t="s">
        <v>24</v>
      </c>
      <c r="C11" s="10" t="s">
        <v>19</v>
      </c>
      <c r="D11" s="10" t="s">
        <v>17</v>
      </c>
      <c r="E11" s="11">
        <v>24.0</v>
      </c>
    </row>
    <row r="12">
      <c r="A12" s="8">
        <v>10.0</v>
      </c>
      <c r="B12" s="9" t="s">
        <v>25</v>
      </c>
      <c r="C12" s="10" t="s">
        <v>26</v>
      </c>
      <c r="D12" s="10" t="s">
        <v>17</v>
      </c>
      <c r="E12" s="11">
        <v>24.0</v>
      </c>
    </row>
    <row r="13">
      <c r="A13" s="8">
        <v>11.0</v>
      </c>
      <c r="B13" s="9" t="s">
        <v>27</v>
      </c>
      <c r="C13" s="10" t="s">
        <v>28</v>
      </c>
      <c r="D13" s="10" t="s">
        <v>7</v>
      </c>
      <c r="E13" s="11">
        <v>23.0</v>
      </c>
    </row>
    <row r="14">
      <c r="A14" s="8">
        <v>12.0</v>
      </c>
      <c r="B14" s="9" t="s">
        <v>29</v>
      </c>
      <c r="C14" s="10" t="s">
        <v>30</v>
      </c>
      <c r="D14" s="10" t="s">
        <v>7</v>
      </c>
      <c r="E14" s="11">
        <v>23.0</v>
      </c>
    </row>
    <row r="15">
      <c r="A15" s="8">
        <v>13.0</v>
      </c>
      <c r="B15" s="9" t="s">
        <v>31</v>
      </c>
      <c r="C15" s="10" t="s">
        <v>32</v>
      </c>
      <c r="D15" s="10" t="s">
        <v>7</v>
      </c>
      <c r="E15" s="11">
        <v>22.0</v>
      </c>
    </row>
    <row r="16">
      <c r="A16" s="8">
        <v>14.0</v>
      </c>
      <c r="B16" s="9" t="s">
        <v>33</v>
      </c>
      <c r="C16" s="10" t="s">
        <v>34</v>
      </c>
      <c r="D16" s="10" t="s">
        <v>7</v>
      </c>
      <c r="E16" s="11">
        <v>21.0</v>
      </c>
    </row>
    <row r="17">
      <c r="A17" s="8">
        <v>15.0</v>
      </c>
      <c r="B17" s="9" t="s">
        <v>35</v>
      </c>
      <c r="C17" s="10" t="s">
        <v>34</v>
      </c>
      <c r="D17" s="10" t="s">
        <v>17</v>
      </c>
      <c r="E17" s="11">
        <v>20.0</v>
      </c>
    </row>
    <row r="18">
      <c r="A18" s="8">
        <v>16.0</v>
      </c>
      <c r="B18" s="9" t="s">
        <v>36</v>
      </c>
      <c r="C18" s="10" t="s">
        <v>21</v>
      </c>
      <c r="D18" s="10" t="s">
        <v>17</v>
      </c>
      <c r="E18" s="11">
        <v>20.0</v>
      </c>
    </row>
    <row r="19">
      <c r="A19" s="8">
        <v>17.0</v>
      </c>
      <c r="B19" s="9" t="s">
        <v>37</v>
      </c>
      <c r="C19" s="10" t="s">
        <v>23</v>
      </c>
      <c r="D19" s="10" t="s">
        <v>7</v>
      </c>
      <c r="E19" s="11">
        <v>19.0</v>
      </c>
    </row>
    <row r="20">
      <c r="A20" s="8">
        <v>18.0</v>
      </c>
      <c r="B20" s="9" t="s">
        <v>38</v>
      </c>
      <c r="C20" s="10" t="s">
        <v>39</v>
      </c>
      <c r="D20" s="10" t="s">
        <v>17</v>
      </c>
      <c r="E20" s="11">
        <v>19.0</v>
      </c>
    </row>
    <row r="21">
      <c r="A21" s="8">
        <v>19.0</v>
      </c>
      <c r="B21" s="9" t="s">
        <v>40</v>
      </c>
      <c r="C21" s="10" t="s">
        <v>41</v>
      </c>
      <c r="D21" s="10" t="s">
        <v>7</v>
      </c>
      <c r="E21" s="11">
        <v>19.0</v>
      </c>
    </row>
    <row r="22">
      <c r="A22" s="8">
        <v>20.0</v>
      </c>
      <c r="B22" s="9" t="s">
        <v>42</v>
      </c>
      <c r="C22" s="10" t="s">
        <v>15</v>
      </c>
      <c r="D22" s="10" t="s">
        <v>43</v>
      </c>
      <c r="E22" s="11">
        <v>18.0</v>
      </c>
    </row>
    <row r="23">
      <c r="A23" s="8">
        <v>20.0</v>
      </c>
      <c r="B23" s="9" t="s">
        <v>44</v>
      </c>
      <c r="C23" s="10" t="s">
        <v>45</v>
      </c>
      <c r="D23" s="10" t="s">
        <v>7</v>
      </c>
      <c r="E23" s="11">
        <v>0.0</v>
      </c>
    </row>
    <row r="24">
      <c r="A24" s="8">
        <v>21.0</v>
      </c>
      <c r="B24" s="9" t="s">
        <v>46</v>
      </c>
      <c r="C24" s="10" t="s">
        <v>47</v>
      </c>
      <c r="D24" s="10" t="s">
        <v>17</v>
      </c>
      <c r="E24" s="11">
        <v>18.0</v>
      </c>
    </row>
    <row r="25">
      <c r="A25" s="8">
        <v>22.0</v>
      </c>
      <c r="B25" s="9" t="s">
        <v>48</v>
      </c>
      <c r="C25" s="10" t="s">
        <v>49</v>
      </c>
      <c r="D25" s="10" t="s">
        <v>17</v>
      </c>
      <c r="E25" s="11">
        <v>17.0</v>
      </c>
    </row>
    <row r="26">
      <c r="A26" s="8">
        <v>23.0</v>
      </c>
      <c r="B26" s="9" t="s">
        <v>50</v>
      </c>
      <c r="C26" s="10" t="s">
        <v>51</v>
      </c>
      <c r="D26" s="10" t="s">
        <v>7</v>
      </c>
      <c r="E26" s="11">
        <v>17.0</v>
      </c>
    </row>
    <row r="27">
      <c r="A27" s="8">
        <v>24.0</v>
      </c>
      <c r="B27" s="9" t="s">
        <v>52</v>
      </c>
      <c r="C27" s="10" t="s">
        <v>53</v>
      </c>
      <c r="D27" s="10" t="s">
        <v>17</v>
      </c>
      <c r="E27" s="11">
        <v>16.0</v>
      </c>
    </row>
    <row r="28">
      <c r="A28" s="8">
        <v>25.0</v>
      </c>
      <c r="B28" s="9" t="s">
        <v>54</v>
      </c>
      <c r="C28" s="10" t="s">
        <v>32</v>
      </c>
      <c r="D28" s="10" t="s">
        <v>17</v>
      </c>
      <c r="E28" s="11">
        <v>16.0</v>
      </c>
    </row>
    <row r="29">
      <c r="A29" s="8">
        <v>26.0</v>
      </c>
      <c r="B29" s="9" t="s">
        <v>55</v>
      </c>
      <c r="C29" s="10" t="s">
        <v>32</v>
      </c>
      <c r="D29" s="10" t="s">
        <v>17</v>
      </c>
      <c r="E29" s="11">
        <v>16.0</v>
      </c>
    </row>
    <row r="30">
      <c r="A30" s="8">
        <v>27.0</v>
      </c>
      <c r="B30" s="9" t="s">
        <v>56</v>
      </c>
      <c r="C30" s="10" t="s">
        <v>28</v>
      </c>
      <c r="D30" s="10" t="s">
        <v>17</v>
      </c>
      <c r="E30" s="11">
        <v>15.0</v>
      </c>
    </row>
    <row r="31">
      <c r="A31" s="8">
        <v>28.0</v>
      </c>
      <c r="B31" s="9" t="s">
        <v>57</v>
      </c>
      <c r="C31" s="10" t="s">
        <v>11</v>
      </c>
      <c r="D31" s="10" t="s">
        <v>17</v>
      </c>
      <c r="E31" s="11">
        <v>15.0</v>
      </c>
    </row>
    <row r="32">
      <c r="A32" s="8">
        <v>29.0</v>
      </c>
      <c r="B32" s="9" t="s">
        <v>58</v>
      </c>
      <c r="C32" s="10" t="s">
        <v>28</v>
      </c>
      <c r="D32" s="10" t="s">
        <v>43</v>
      </c>
      <c r="E32" s="11">
        <v>14.0</v>
      </c>
    </row>
    <row r="33">
      <c r="A33" s="8">
        <v>30.0</v>
      </c>
      <c r="B33" s="9" t="s">
        <v>59</v>
      </c>
      <c r="C33" s="10" t="s">
        <v>60</v>
      </c>
      <c r="D33" s="10" t="s">
        <v>43</v>
      </c>
      <c r="E33" s="11">
        <v>14.0</v>
      </c>
    </row>
    <row r="34">
      <c r="A34" s="8">
        <v>31.0</v>
      </c>
      <c r="B34" s="9" t="s">
        <v>61</v>
      </c>
      <c r="C34" s="10" t="s">
        <v>51</v>
      </c>
      <c r="D34" s="10" t="s">
        <v>17</v>
      </c>
      <c r="E34" s="11">
        <v>14.0</v>
      </c>
    </row>
    <row r="35">
      <c r="A35" s="8">
        <v>32.0</v>
      </c>
      <c r="B35" s="9" t="s">
        <v>62</v>
      </c>
      <c r="C35" s="10" t="s">
        <v>63</v>
      </c>
      <c r="D35" s="10" t="s">
        <v>17</v>
      </c>
      <c r="E35" s="11">
        <v>13.0</v>
      </c>
    </row>
    <row r="36">
      <c r="A36" s="8">
        <v>33.0</v>
      </c>
      <c r="B36" s="9" t="s">
        <v>64</v>
      </c>
      <c r="C36" s="10" t="s">
        <v>65</v>
      </c>
      <c r="D36" s="10" t="s">
        <v>17</v>
      </c>
      <c r="E36" s="11">
        <v>13.0</v>
      </c>
    </row>
    <row r="37">
      <c r="A37" s="8">
        <v>34.0</v>
      </c>
      <c r="B37" s="9" t="s">
        <v>66</v>
      </c>
      <c r="C37" s="10" t="s">
        <v>67</v>
      </c>
      <c r="D37" s="10" t="s">
        <v>17</v>
      </c>
      <c r="E37" s="11">
        <v>13.0</v>
      </c>
    </row>
    <row r="38">
      <c r="A38" s="8">
        <v>35.0</v>
      </c>
      <c r="B38" s="9" t="s">
        <v>68</v>
      </c>
      <c r="C38" s="10" t="s">
        <v>60</v>
      </c>
      <c r="D38" s="10" t="s">
        <v>17</v>
      </c>
      <c r="E38" s="11">
        <v>12.0</v>
      </c>
    </row>
    <row r="39">
      <c r="A39" s="8">
        <v>36.0</v>
      </c>
      <c r="B39" s="9" t="s">
        <v>69</v>
      </c>
      <c r="C39" s="10" t="s">
        <v>70</v>
      </c>
      <c r="D39" s="10" t="s">
        <v>7</v>
      </c>
      <c r="E39" s="11">
        <v>12.0</v>
      </c>
    </row>
    <row r="40">
      <c r="A40" s="8">
        <v>37.0</v>
      </c>
      <c r="B40" s="9" t="s">
        <v>71</v>
      </c>
      <c r="C40" s="10" t="s">
        <v>72</v>
      </c>
      <c r="D40" s="10" t="s">
        <v>7</v>
      </c>
      <c r="E40" s="11">
        <v>11.0</v>
      </c>
    </row>
    <row r="41">
      <c r="A41" s="8">
        <v>38.0</v>
      </c>
      <c r="B41" s="9" t="s">
        <v>73</v>
      </c>
      <c r="C41" s="8" t="s">
        <v>39</v>
      </c>
      <c r="D41" s="8" t="s">
        <v>7</v>
      </c>
      <c r="E41" s="11">
        <v>11.0</v>
      </c>
    </row>
    <row r="42">
      <c r="A42" s="8">
        <v>39.0</v>
      </c>
      <c r="B42" s="9" t="s">
        <v>74</v>
      </c>
      <c r="C42" s="8" t="s">
        <v>75</v>
      </c>
      <c r="D42" s="8" t="s">
        <v>17</v>
      </c>
      <c r="E42" s="11">
        <v>11.0</v>
      </c>
    </row>
    <row r="43">
      <c r="A43" s="8">
        <v>40.0</v>
      </c>
      <c r="B43" s="9" t="s">
        <v>76</v>
      </c>
      <c r="C43" s="10" t="s">
        <v>77</v>
      </c>
      <c r="D43" s="10" t="s">
        <v>17</v>
      </c>
      <c r="E43" s="11">
        <v>10.0</v>
      </c>
    </row>
    <row r="44">
      <c r="A44" s="8">
        <v>41.0</v>
      </c>
      <c r="B44" s="9" t="s">
        <v>78</v>
      </c>
      <c r="C44" s="10" t="s">
        <v>9</v>
      </c>
      <c r="D44" s="10" t="s">
        <v>17</v>
      </c>
      <c r="E44" s="11">
        <v>10.0</v>
      </c>
    </row>
    <row r="45">
      <c r="A45" s="8">
        <v>42.0</v>
      </c>
      <c r="B45" s="9" t="s">
        <v>79</v>
      </c>
      <c r="C45" s="10" t="s">
        <v>77</v>
      </c>
      <c r="D45" s="10" t="s">
        <v>17</v>
      </c>
      <c r="E45" s="11">
        <v>10.0</v>
      </c>
    </row>
    <row r="46">
      <c r="A46" s="8">
        <v>43.0</v>
      </c>
      <c r="B46" s="9" t="s">
        <v>80</v>
      </c>
      <c r="C46" s="10" t="s">
        <v>45</v>
      </c>
      <c r="D46" s="10" t="s">
        <v>7</v>
      </c>
      <c r="E46" s="11">
        <v>9.0</v>
      </c>
    </row>
    <row r="47">
      <c r="A47" s="8">
        <v>44.0</v>
      </c>
      <c r="B47" s="9" t="s">
        <v>81</v>
      </c>
      <c r="C47" s="10" t="s">
        <v>63</v>
      </c>
      <c r="D47" s="10" t="s">
        <v>7</v>
      </c>
      <c r="E47" s="11">
        <v>9.0</v>
      </c>
    </row>
    <row r="48">
      <c r="A48" s="8">
        <v>45.0</v>
      </c>
      <c r="B48" s="9" t="s">
        <v>82</v>
      </c>
      <c r="C48" s="10" t="s">
        <v>83</v>
      </c>
      <c r="D48" s="10" t="s">
        <v>7</v>
      </c>
      <c r="E48" s="11">
        <v>9.0</v>
      </c>
    </row>
    <row r="49">
      <c r="A49" s="8">
        <v>46.0</v>
      </c>
      <c r="B49" s="9" t="s">
        <v>84</v>
      </c>
      <c r="C49" s="10" t="s">
        <v>60</v>
      </c>
      <c r="D49" s="10" t="s">
        <v>7</v>
      </c>
      <c r="E49" s="11">
        <v>8.0</v>
      </c>
    </row>
    <row r="50">
      <c r="A50" s="8">
        <v>47.0</v>
      </c>
      <c r="B50" s="9" t="s">
        <v>85</v>
      </c>
      <c r="C50" s="10" t="s">
        <v>65</v>
      </c>
      <c r="D50" s="10" t="s">
        <v>7</v>
      </c>
      <c r="E50" s="11">
        <v>8.0</v>
      </c>
    </row>
    <row r="51">
      <c r="A51" s="8">
        <v>48.0</v>
      </c>
      <c r="B51" s="9" t="s">
        <v>86</v>
      </c>
      <c r="C51" s="10" t="s">
        <v>49</v>
      </c>
      <c r="D51" s="10" t="s">
        <v>7</v>
      </c>
      <c r="E51" s="11">
        <v>7.0</v>
      </c>
    </row>
    <row r="52">
      <c r="A52" s="8">
        <v>49.0</v>
      </c>
      <c r="B52" s="9" t="s">
        <v>87</v>
      </c>
      <c r="C52" s="10" t="s">
        <v>88</v>
      </c>
      <c r="D52" s="10" t="s">
        <v>7</v>
      </c>
      <c r="E52" s="11">
        <v>7.0</v>
      </c>
    </row>
    <row r="53">
      <c r="A53" s="8">
        <v>50.0</v>
      </c>
      <c r="B53" s="9" t="s">
        <v>89</v>
      </c>
      <c r="C53" s="10" t="s">
        <v>75</v>
      </c>
      <c r="D53" s="10" t="s">
        <v>7</v>
      </c>
      <c r="E53" s="11">
        <v>6.0</v>
      </c>
    </row>
    <row r="54">
      <c r="A54" s="8">
        <v>51.0</v>
      </c>
      <c r="B54" s="9" t="s">
        <v>90</v>
      </c>
      <c r="C54" s="10" t="s">
        <v>6</v>
      </c>
      <c r="D54" s="10" t="s">
        <v>17</v>
      </c>
      <c r="E54" s="11">
        <v>6.0</v>
      </c>
    </row>
    <row r="55">
      <c r="A55" s="8">
        <v>52.0</v>
      </c>
      <c r="B55" s="9" t="s">
        <v>91</v>
      </c>
      <c r="C55" s="10" t="s">
        <v>67</v>
      </c>
      <c r="D55" s="10" t="s">
        <v>17</v>
      </c>
      <c r="E55" s="11">
        <v>6.0</v>
      </c>
    </row>
    <row r="56">
      <c r="A56" s="8">
        <v>53.0</v>
      </c>
      <c r="B56" s="9" t="s">
        <v>92</v>
      </c>
      <c r="C56" s="10" t="s">
        <v>9</v>
      </c>
      <c r="D56" s="10" t="s">
        <v>17</v>
      </c>
      <c r="E56" s="11">
        <v>6.0</v>
      </c>
    </row>
    <row r="57">
      <c r="A57" s="8">
        <v>54.0</v>
      </c>
      <c r="B57" s="9" t="s">
        <v>93</v>
      </c>
      <c r="C57" s="10" t="s">
        <v>41</v>
      </c>
      <c r="D57" s="10" t="s">
        <v>17</v>
      </c>
      <c r="E57" s="11">
        <v>5.0</v>
      </c>
    </row>
    <row r="58">
      <c r="A58" s="8">
        <v>55.0</v>
      </c>
      <c r="B58" s="9" t="s">
        <v>94</v>
      </c>
      <c r="C58" s="10" t="s">
        <v>95</v>
      </c>
      <c r="D58" s="10" t="s">
        <v>7</v>
      </c>
      <c r="E58" s="11">
        <v>5.0</v>
      </c>
    </row>
    <row r="59">
      <c r="A59" s="8">
        <v>56.0</v>
      </c>
      <c r="B59" s="9" t="s">
        <v>96</v>
      </c>
      <c r="C59" s="10" t="s">
        <v>47</v>
      </c>
      <c r="D59" s="10" t="s">
        <v>97</v>
      </c>
      <c r="E59" s="11">
        <v>5.0</v>
      </c>
    </row>
    <row r="60">
      <c r="A60" s="8">
        <v>57.0</v>
      </c>
      <c r="B60" s="9" t="s">
        <v>98</v>
      </c>
      <c r="C60" s="10" t="s">
        <v>15</v>
      </c>
      <c r="D60" s="10" t="s">
        <v>97</v>
      </c>
      <c r="E60" s="11">
        <v>5.0</v>
      </c>
    </row>
    <row r="61">
      <c r="A61" s="8">
        <v>58.0</v>
      </c>
      <c r="B61" s="9" t="s">
        <v>99</v>
      </c>
      <c r="C61" s="8" t="s">
        <v>26</v>
      </c>
      <c r="D61" s="8" t="s">
        <v>7</v>
      </c>
      <c r="E61" s="11">
        <v>5.0</v>
      </c>
    </row>
    <row r="62">
      <c r="A62" s="8">
        <v>60.0</v>
      </c>
      <c r="B62" s="9" t="s">
        <v>100</v>
      </c>
      <c r="C62" s="10" t="s">
        <v>15</v>
      </c>
      <c r="D62" s="10" t="s">
        <v>7</v>
      </c>
      <c r="E62" s="11">
        <v>5.0</v>
      </c>
    </row>
    <row r="63">
      <c r="A63" s="8">
        <v>61.0</v>
      </c>
      <c r="B63" s="9" t="s">
        <v>101</v>
      </c>
      <c r="C63" s="10" t="s">
        <v>23</v>
      </c>
      <c r="D63" s="10" t="s">
        <v>7</v>
      </c>
      <c r="E63" s="11">
        <v>4.0</v>
      </c>
    </row>
    <row r="64">
      <c r="A64" s="8">
        <v>62.0</v>
      </c>
      <c r="B64" s="9" t="s">
        <v>102</v>
      </c>
      <c r="C64" s="10" t="s">
        <v>63</v>
      </c>
      <c r="D64" s="10" t="s">
        <v>17</v>
      </c>
      <c r="E64" s="11">
        <v>4.0</v>
      </c>
    </row>
    <row r="65">
      <c r="A65" s="8">
        <v>63.0</v>
      </c>
      <c r="B65" s="9" t="s">
        <v>103</v>
      </c>
      <c r="C65" s="10" t="s">
        <v>15</v>
      </c>
      <c r="D65" s="10" t="s">
        <v>17</v>
      </c>
      <c r="E65" s="11">
        <v>4.0</v>
      </c>
    </row>
    <row r="66">
      <c r="A66" s="8">
        <v>64.0</v>
      </c>
      <c r="B66" s="9" t="s">
        <v>104</v>
      </c>
      <c r="C66" s="10" t="s">
        <v>28</v>
      </c>
      <c r="D66" s="10" t="s">
        <v>17</v>
      </c>
      <c r="E66" s="11">
        <v>4.0</v>
      </c>
    </row>
    <row r="67">
      <c r="A67" s="8">
        <v>65.0</v>
      </c>
      <c r="B67" s="9" t="s">
        <v>105</v>
      </c>
      <c r="C67" s="8" t="s">
        <v>83</v>
      </c>
      <c r="D67" s="8" t="s">
        <v>17</v>
      </c>
      <c r="E67" s="11">
        <v>4.0</v>
      </c>
    </row>
    <row r="68">
      <c r="A68" s="8">
        <v>66.0</v>
      </c>
      <c r="B68" s="9" t="s">
        <v>106</v>
      </c>
      <c r="C68" s="10" t="s">
        <v>41</v>
      </c>
      <c r="D68" s="10" t="s">
        <v>97</v>
      </c>
      <c r="E68" s="11">
        <v>4.0</v>
      </c>
    </row>
    <row r="69">
      <c r="A69" s="8">
        <v>67.0</v>
      </c>
      <c r="B69" s="9" t="s">
        <v>107</v>
      </c>
      <c r="C69" s="10" t="s">
        <v>60</v>
      </c>
      <c r="D69" s="10" t="s">
        <v>97</v>
      </c>
      <c r="E69" s="11">
        <v>4.0</v>
      </c>
    </row>
    <row r="70">
      <c r="A70" s="8">
        <v>68.0</v>
      </c>
      <c r="B70" s="9" t="s">
        <v>108</v>
      </c>
      <c r="C70" s="8" t="s">
        <v>65</v>
      </c>
      <c r="D70" s="8" t="s">
        <v>97</v>
      </c>
      <c r="E70" s="11">
        <v>3.0</v>
      </c>
    </row>
    <row r="71">
      <c r="A71" s="8">
        <v>69.0</v>
      </c>
      <c r="B71" s="9" t="s">
        <v>109</v>
      </c>
      <c r="C71" s="10" t="s">
        <v>26</v>
      </c>
      <c r="D71" s="10" t="s">
        <v>97</v>
      </c>
      <c r="E71" s="11">
        <v>3.0</v>
      </c>
    </row>
    <row r="72">
      <c r="A72" s="8">
        <v>70.0</v>
      </c>
      <c r="B72" s="9" t="s">
        <v>110</v>
      </c>
      <c r="C72" s="10" t="s">
        <v>26</v>
      </c>
      <c r="D72" s="10" t="s">
        <v>17</v>
      </c>
      <c r="E72" s="11">
        <v>3.0</v>
      </c>
    </row>
    <row r="73">
      <c r="A73" s="8">
        <v>71.0</v>
      </c>
      <c r="B73" s="9" t="s">
        <v>111</v>
      </c>
      <c r="C73" s="10" t="s">
        <v>72</v>
      </c>
      <c r="D73" s="10" t="s">
        <v>17</v>
      </c>
      <c r="E73" s="11">
        <v>3.0</v>
      </c>
    </row>
    <row r="74">
      <c r="A74" s="8">
        <v>72.0</v>
      </c>
      <c r="B74" s="9" t="s">
        <v>112</v>
      </c>
      <c r="C74" s="10" t="s">
        <v>9</v>
      </c>
      <c r="D74" s="10" t="s">
        <v>17</v>
      </c>
      <c r="E74" s="11">
        <v>3.0</v>
      </c>
    </row>
    <row r="75">
      <c r="A75" s="8">
        <v>73.0</v>
      </c>
      <c r="B75" s="9" t="s">
        <v>113</v>
      </c>
      <c r="C75" s="10" t="s">
        <v>88</v>
      </c>
      <c r="D75" s="10" t="s">
        <v>17</v>
      </c>
      <c r="E75" s="11">
        <v>3.0</v>
      </c>
    </row>
    <row r="76">
      <c r="A76" s="8">
        <v>74.0</v>
      </c>
      <c r="B76" s="9" t="s">
        <v>114</v>
      </c>
      <c r="C76" s="8" t="s">
        <v>72</v>
      </c>
      <c r="D76" s="8" t="s">
        <v>17</v>
      </c>
      <c r="E76" s="11">
        <v>3.0</v>
      </c>
    </row>
    <row r="77">
      <c r="A77" s="8">
        <v>75.0</v>
      </c>
      <c r="B77" s="9" t="s">
        <v>115</v>
      </c>
      <c r="C77" s="10" t="s">
        <v>47</v>
      </c>
      <c r="D77" s="10" t="s">
        <v>17</v>
      </c>
      <c r="E77" s="11">
        <v>3.0</v>
      </c>
    </row>
    <row r="78">
      <c r="A78" s="8">
        <v>76.0</v>
      </c>
      <c r="B78" s="9" t="s">
        <v>116</v>
      </c>
      <c r="C78" s="10" t="s">
        <v>45</v>
      </c>
      <c r="D78" s="10" t="s">
        <v>17</v>
      </c>
      <c r="E78" s="11">
        <v>3.0</v>
      </c>
    </row>
    <row r="79">
      <c r="A79" s="8">
        <v>77.0</v>
      </c>
      <c r="B79" s="9" t="s">
        <v>117</v>
      </c>
      <c r="C79" s="10" t="s">
        <v>41</v>
      </c>
      <c r="D79" s="10" t="s">
        <v>43</v>
      </c>
      <c r="E79" s="11">
        <v>3.0</v>
      </c>
    </row>
    <row r="80">
      <c r="A80" s="8">
        <v>78.0</v>
      </c>
      <c r="B80" s="9" t="s">
        <v>118</v>
      </c>
      <c r="C80" s="10" t="s">
        <v>83</v>
      </c>
      <c r="D80" s="10" t="s">
        <v>43</v>
      </c>
      <c r="E80" s="11">
        <v>2.0</v>
      </c>
    </row>
    <row r="81">
      <c r="A81" s="8">
        <v>79.0</v>
      </c>
      <c r="B81" s="9" t="s">
        <v>119</v>
      </c>
      <c r="C81" s="10" t="s">
        <v>19</v>
      </c>
      <c r="D81" s="10" t="s">
        <v>43</v>
      </c>
      <c r="E81" s="11">
        <v>2.0</v>
      </c>
    </row>
    <row r="82">
      <c r="A82" s="8">
        <v>80.0</v>
      </c>
      <c r="B82" s="9" t="s">
        <v>120</v>
      </c>
      <c r="C82" s="8" t="s">
        <v>83</v>
      </c>
      <c r="D82" s="8" t="s">
        <v>7</v>
      </c>
      <c r="E82" s="11">
        <v>2.0</v>
      </c>
    </row>
    <row r="83">
      <c r="A83" s="8">
        <v>81.0</v>
      </c>
      <c r="B83" s="9" t="s">
        <v>121</v>
      </c>
      <c r="C83" s="8" t="s">
        <v>70</v>
      </c>
      <c r="D83" s="8" t="s">
        <v>17</v>
      </c>
      <c r="E83" s="11">
        <v>2.0</v>
      </c>
    </row>
    <row r="84">
      <c r="A84" s="8">
        <v>82.0</v>
      </c>
      <c r="B84" s="9" t="s">
        <v>122</v>
      </c>
      <c r="C84" s="8" t="s">
        <v>123</v>
      </c>
      <c r="D84" s="8" t="s">
        <v>17</v>
      </c>
      <c r="E84" s="11">
        <v>2.0</v>
      </c>
    </row>
    <row r="85">
      <c r="A85" s="8">
        <v>83.0</v>
      </c>
      <c r="B85" s="9" t="s">
        <v>124</v>
      </c>
      <c r="C85" s="8" t="s">
        <v>67</v>
      </c>
      <c r="D85" s="8" t="s">
        <v>7</v>
      </c>
      <c r="E85" s="11">
        <v>2.0</v>
      </c>
    </row>
    <row r="86">
      <c r="A86" s="8">
        <v>84.0</v>
      </c>
      <c r="B86" s="9" t="s">
        <v>125</v>
      </c>
      <c r="C86" s="8" t="s">
        <v>47</v>
      </c>
      <c r="D86" s="8" t="s">
        <v>43</v>
      </c>
      <c r="E86" s="11">
        <v>2.0</v>
      </c>
    </row>
    <row r="87">
      <c r="A87" s="8">
        <v>85.0</v>
      </c>
      <c r="B87" s="9" t="s">
        <v>126</v>
      </c>
      <c r="C87" s="8" t="s">
        <v>47</v>
      </c>
      <c r="D87" s="8" t="s">
        <v>7</v>
      </c>
      <c r="E87" s="11">
        <v>2.0</v>
      </c>
    </row>
    <row r="88">
      <c r="A88" s="8">
        <v>86.0</v>
      </c>
      <c r="B88" s="9" t="s">
        <v>127</v>
      </c>
      <c r="C88" s="8" t="s">
        <v>77</v>
      </c>
      <c r="D88" s="8" t="s">
        <v>7</v>
      </c>
      <c r="E88" s="11">
        <v>2.0</v>
      </c>
    </row>
    <row r="89">
      <c r="A89" s="8">
        <v>87.0</v>
      </c>
      <c r="B89" s="9" t="s">
        <v>128</v>
      </c>
      <c r="C89" s="8" t="s">
        <v>21</v>
      </c>
      <c r="D89" s="8" t="s">
        <v>7</v>
      </c>
      <c r="E89" s="11">
        <v>2.0</v>
      </c>
    </row>
    <row r="90">
      <c r="A90" s="8">
        <v>88.0</v>
      </c>
      <c r="B90" s="9" t="s">
        <v>129</v>
      </c>
      <c r="C90" s="8" t="s">
        <v>45</v>
      </c>
      <c r="D90" s="8" t="s">
        <v>17</v>
      </c>
      <c r="E90" s="11">
        <v>2.0</v>
      </c>
    </row>
    <row r="91">
      <c r="A91" s="8">
        <v>89.0</v>
      </c>
      <c r="B91" s="9" t="s">
        <v>130</v>
      </c>
      <c r="C91" s="8" t="s">
        <v>95</v>
      </c>
      <c r="D91" s="8" t="s">
        <v>17</v>
      </c>
      <c r="E91" s="11">
        <v>2.0</v>
      </c>
    </row>
    <row r="92">
      <c r="A92" s="8">
        <v>90.0</v>
      </c>
      <c r="B92" s="9" t="s">
        <v>131</v>
      </c>
      <c r="C92" s="8" t="s">
        <v>123</v>
      </c>
      <c r="D92" s="8" t="s">
        <v>43</v>
      </c>
      <c r="E92" s="11">
        <v>2.0</v>
      </c>
    </row>
    <row r="93">
      <c r="A93" s="8">
        <v>91.0</v>
      </c>
      <c r="B93" s="9" t="s">
        <v>132</v>
      </c>
      <c r="C93" s="8" t="s">
        <v>15</v>
      </c>
      <c r="D93" s="8" t="s">
        <v>17</v>
      </c>
      <c r="E93" s="11">
        <v>2.0</v>
      </c>
    </row>
    <row r="94">
      <c r="A94" s="8">
        <v>92.0</v>
      </c>
      <c r="B94" s="9" t="s">
        <v>133</v>
      </c>
      <c r="C94" s="8" t="s">
        <v>19</v>
      </c>
      <c r="D94" s="8" t="s">
        <v>17</v>
      </c>
      <c r="E94" s="11">
        <v>2.0</v>
      </c>
    </row>
    <row r="95">
      <c r="A95" s="8">
        <v>93.0</v>
      </c>
      <c r="B95" s="9" t="s">
        <v>134</v>
      </c>
      <c r="C95" s="8" t="s">
        <v>75</v>
      </c>
      <c r="D95" s="8" t="s">
        <v>17</v>
      </c>
      <c r="E95" s="11">
        <v>2.0</v>
      </c>
    </row>
    <row r="96">
      <c r="A96" s="8">
        <v>94.0</v>
      </c>
      <c r="B96" s="9" t="s">
        <v>135</v>
      </c>
      <c r="C96" s="8" t="s">
        <v>53</v>
      </c>
      <c r="D96" s="8" t="s">
        <v>7</v>
      </c>
      <c r="E96" s="11">
        <v>2.0</v>
      </c>
    </row>
    <row r="97">
      <c r="A97" s="8">
        <v>95.0</v>
      </c>
      <c r="B97" s="9" t="s">
        <v>136</v>
      </c>
      <c r="C97" s="8" t="s">
        <v>67</v>
      </c>
      <c r="D97" s="8" t="s">
        <v>7</v>
      </c>
      <c r="E97" s="11">
        <v>2.0</v>
      </c>
    </row>
    <row r="98">
      <c r="A98" s="8">
        <v>96.0</v>
      </c>
      <c r="B98" s="9" t="s">
        <v>137</v>
      </c>
      <c r="C98" s="8" t="s">
        <v>123</v>
      </c>
      <c r="D98" s="8" t="s">
        <v>7</v>
      </c>
      <c r="E98" s="11">
        <v>1.0</v>
      </c>
    </row>
    <row r="99">
      <c r="A99" s="8">
        <v>97.0</v>
      </c>
      <c r="B99" s="9" t="s">
        <v>138</v>
      </c>
      <c r="C99" s="8" t="s">
        <v>67</v>
      </c>
      <c r="D99" s="8" t="s">
        <v>7</v>
      </c>
      <c r="E99" s="11">
        <v>1.0</v>
      </c>
    </row>
    <row r="100">
      <c r="A100" s="8">
        <v>98.0</v>
      </c>
      <c r="B100" s="9" t="s">
        <v>139</v>
      </c>
      <c r="C100" s="8" t="s">
        <v>51</v>
      </c>
      <c r="D100" s="8" t="s">
        <v>7</v>
      </c>
      <c r="E100" s="11">
        <v>1.0</v>
      </c>
    </row>
    <row r="101">
      <c r="A101" s="8">
        <v>99.0</v>
      </c>
      <c r="B101" s="9" t="s">
        <v>140</v>
      </c>
      <c r="C101" s="8" t="s">
        <v>32</v>
      </c>
      <c r="D101" s="8" t="s">
        <v>43</v>
      </c>
      <c r="E101" s="11">
        <v>1.0</v>
      </c>
    </row>
    <row r="102">
      <c r="A102" s="8">
        <v>100.0</v>
      </c>
      <c r="B102" s="9" t="s">
        <v>141</v>
      </c>
      <c r="C102" s="8" t="s">
        <v>47</v>
      </c>
      <c r="D102" s="8" t="s">
        <v>7</v>
      </c>
      <c r="E102" s="11">
        <v>1.0</v>
      </c>
    </row>
    <row r="103">
      <c r="A103" s="8">
        <v>101.0</v>
      </c>
      <c r="B103" s="9" t="s">
        <v>142</v>
      </c>
      <c r="C103" s="8" t="s">
        <v>30</v>
      </c>
      <c r="D103" s="8" t="s">
        <v>17</v>
      </c>
      <c r="E103" s="11">
        <v>1.0</v>
      </c>
    </row>
    <row r="104">
      <c r="A104" s="8">
        <v>102.0</v>
      </c>
      <c r="B104" s="9" t="s">
        <v>143</v>
      </c>
      <c r="C104" s="8" t="s">
        <v>123</v>
      </c>
      <c r="D104" s="8" t="s">
        <v>17</v>
      </c>
      <c r="E104" s="11">
        <v>1.0</v>
      </c>
    </row>
    <row r="105">
      <c r="A105" s="8">
        <v>103.0</v>
      </c>
      <c r="B105" s="9" t="s">
        <v>144</v>
      </c>
      <c r="C105" s="8" t="s">
        <v>77</v>
      </c>
      <c r="D105" s="8" t="s">
        <v>17</v>
      </c>
      <c r="E105" s="11">
        <v>1.0</v>
      </c>
    </row>
    <row r="106">
      <c r="A106" s="8">
        <v>104.0</v>
      </c>
      <c r="B106" s="9" t="s">
        <v>145</v>
      </c>
      <c r="C106" s="8" t="s">
        <v>60</v>
      </c>
      <c r="D106" s="8" t="s">
        <v>17</v>
      </c>
      <c r="E106" s="11">
        <v>1.0</v>
      </c>
    </row>
    <row r="107">
      <c r="A107" s="8">
        <v>105.0</v>
      </c>
      <c r="B107" s="9" t="s">
        <v>146</v>
      </c>
      <c r="C107" s="8" t="s">
        <v>13</v>
      </c>
      <c r="D107" s="8" t="s">
        <v>17</v>
      </c>
      <c r="E107" s="11">
        <v>1.0</v>
      </c>
    </row>
    <row r="108">
      <c r="A108" s="8">
        <v>106.0</v>
      </c>
      <c r="B108" s="9" t="s">
        <v>147</v>
      </c>
      <c r="C108" s="8" t="s">
        <v>65</v>
      </c>
      <c r="D108" s="8" t="s">
        <v>17</v>
      </c>
      <c r="E108" s="11">
        <v>1.0</v>
      </c>
    </row>
    <row r="109">
      <c r="A109" s="8">
        <v>107.0</v>
      </c>
      <c r="B109" s="9" t="s">
        <v>148</v>
      </c>
      <c r="C109" s="8" t="s">
        <v>65</v>
      </c>
      <c r="D109" s="8" t="s">
        <v>7</v>
      </c>
      <c r="E109" s="11">
        <v>1.0</v>
      </c>
    </row>
    <row r="110">
      <c r="A110" s="8">
        <v>108.0</v>
      </c>
      <c r="B110" s="9" t="s">
        <v>149</v>
      </c>
      <c r="C110" s="8" t="s">
        <v>41</v>
      </c>
      <c r="D110" s="8" t="s">
        <v>7</v>
      </c>
      <c r="E110" s="11">
        <v>1.0</v>
      </c>
    </row>
    <row r="111">
      <c r="A111" s="8">
        <v>109.0</v>
      </c>
      <c r="B111" s="9" t="s">
        <v>150</v>
      </c>
      <c r="C111" s="8" t="s">
        <v>15</v>
      </c>
      <c r="D111" s="8" t="s">
        <v>7</v>
      </c>
      <c r="E111" s="11">
        <v>1.0</v>
      </c>
    </row>
    <row r="112">
      <c r="A112" s="8">
        <v>110.0</v>
      </c>
      <c r="B112" s="9" t="s">
        <v>151</v>
      </c>
      <c r="C112" s="8" t="s">
        <v>67</v>
      </c>
      <c r="D112" s="8" t="s">
        <v>43</v>
      </c>
      <c r="E112" s="11">
        <v>1.0</v>
      </c>
    </row>
    <row r="113">
      <c r="A113" s="8">
        <v>111.0</v>
      </c>
      <c r="B113" s="9" t="s">
        <v>152</v>
      </c>
      <c r="C113" s="8" t="s">
        <v>51</v>
      </c>
      <c r="D113" s="8" t="s">
        <v>43</v>
      </c>
      <c r="E113" s="11">
        <v>1.0</v>
      </c>
    </row>
    <row r="114">
      <c r="A114" s="8">
        <v>112.0</v>
      </c>
      <c r="B114" s="9" t="s">
        <v>153</v>
      </c>
      <c r="C114" s="8" t="s">
        <v>39</v>
      </c>
      <c r="D114" s="8" t="s">
        <v>7</v>
      </c>
      <c r="E114" s="11">
        <v>1.0</v>
      </c>
    </row>
    <row r="115">
      <c r="A115" s="8">
        <v>113.0</v>
      </c>
      <c r="B115" s="9" t="s">
        <v>154</v>
      </c>
      <c r="C115" s="8" t="s">
        <v>53</v>
      </c>
      <c r="D115" s="8" t="s">
        <v>7</v>
      </c>
      <c r="E115" s="11">
        <v>1.0</v>
      </c>
    </row>
    <row r="116">
      <c r="A116" s="8">
        <v>114.0</v>
      </c>
      <c r="B116" s="9" t="s">
        <v>155</v>
      </c>
      <c r="C116" s="8" t="s">
        <v>32</v>
      </c>
      <c r="D116" s="8" t="s">
        <v>7</v>
      </c>
      <c r="E116" s="11">
        <v>1.0</v>
      </c>
    </row>
    <row r="117">
      <c r="A117" s="8">
        <v>115.0</v>
      </c>
      <c r="B117" s="9" t="s">
        <v>156</v>
      </c>
      <c r="C117" s="8" t="s">
        <v>83</v>
      </c>
      <c r="D117" s="8" t="s">
        <v>17</v>
      </c>
      <c r="E117" s="11">
        <v>1.0</v>
      </c>
    </row>
    <row r="118">
      <c r="A118" s="8">
        <v>116.0</v>
      </c>
      <c r="B118" s="9" t="s">
        <v>157</v>
      </c>
      <c r="C118" s="8" t="s">
        <v>123</v>
      </c>
      <c r="D118" s="8" t="s">
        <v>17</v>
      </c>
      <c r="E118" s="11">
        <v>1.0</v>
      </c>
    </row>
    <row r="119">
      <c r="A119" s="8">
        <v>117.0</v>
      </c>
      <c r="B119" s="9" t="s">
        <v>158</v>
      </c>
      <c r="C119" s="8" t="s">
        <v>53</v>
      </c>
      <c r="D119" s="8" t="s">
        <v>97</v>
      </c>
      <c r="E119" s="11">
        <v>1.0</v>
      </c>
    </row>
    <row r="120">
      <c r="A120" s="8">
        <v>118.0</v>
      </c>
      <c r="B120" s="9" t="s">
        <v>159</v>
      </c>
      <c r="C120" s="8" t="s">
        <v>6</v>
      </c>
      <c r="D120" s="8" t="s">
        <v>97</v>
      </c>
      <c r="E120" s="11">
        <v>1.0</v>
      </c>
    </row>
    <row r="121">
      <c r="A121" s="8">
        <v>119.0</v>
      </c>
      <c r="B121" s="9" t="s">
        <v>160</v>
      </c>
      <c r="C121" s="8" t="s">
        <v>32</v>
      </c>
      <c r="D121" s="8" t="s">
        <v>97</v>
      </c>
      <c r="E121" s="11">
        <v>1.0</v>
      </c>
    </row>
    <row r="122">
      <c r="A122" s="8">
        <v>120.0</v>
      </c>
      <c r="B122" s="9" t="s">
        <v>161</v>
      </c>
      <c r="C122" s="8" t="s">
        <v>53</v>
      </c>
      <c r="D122" s="8" t="s">
        <v>43</v>
      </c>
      <c r="E122" s="11">
        <v>1.0</v>
      </c>
    </row>
    <row r="123">
      <c r="A123" s="8">
        <v>121.0</v>
      </c>
      <c r="B123" s="9" t="s">
        <v>162</v>
      </c>
      <c r="C123" s="8" t="s">
        <v>21</v>
      </c>
      <c r="D123" s="8" t="s">
        <v>17</v>
      </c>
      <c r="E123" s="11">
        <v>1.0</v>
      </c>
    </row>
    <row r="124">
      <c r="A124" s="8">
        <v>122.0</v>
      </c>
      <c r="B124" s="9" t="s">
        <v>163</v>
      </c>
      <c r="C124" s="8" t="s">
        <v>23</v>
      </c>
      <c r="D124" s="8" t="s">
        <v>17</v>
      </c>
      <c r="E124" s="11">
        <v>1.0</v>
      </c>
    </row>
    <row r="125">
      <c r="A125" s="8">
        <v>123.0</v>
      </c>
      <c r="B125" s="9" t="s">
        <v>164</v>
      </c>
      <c r="C125" s="8" t="s">
        <v>41</v>
      </c>
      <c r="D125" s="8" t="s">
        <v>17</v>
      </c>
      <c r="E125" s="11">
        <v>1.0</v>
      </c>
    </row>
    <row r="126">
      <c r="A126" s="8">
        <v>124.0</v>
      </c>
      <c r="B126" s="9" t="s">
        <v>165</v>
      </c>
      <c r="C126" s="8" t="s">
        <v>49</v>
      </c>
      <c r="D126" s="8" t="s">
        <v>17</v>
      </c>
      <c r="E126" s="11">
        <v>1.0</v>
      </c>
    </row>
    <row r="127">
      <c r="A127" s="8">
        <v>125.0</v>
      </c>
      <c r="B127" s="9" t="s">
        <v>166</v>
      </c>
      <c r="C127" s="8" t="s">
        <v>49</v>
      </c>
      <c r="D127" s="8" t="s">
        <v>17</v>
      </c>
      <c r="E127" s="11">
        <v>1.0</v>
      </c>
    </row>
    <row r="128">
      <c r="A128" s="8">
        <v>126.0</v>
      </c>
      <c r="B128" s="9" t="s">
        <v>167</v>
      </c>
      <c r="C128" s="8" t="s">
        <v>13</v>
      </c>
      <c r="D128" s="8" t="s">
        <v>17</v>
      </c>
      <c r="E128" s="11">
        <v>1.0</v>
      </c>
    </row>
    <row r="129">
      <c r="A129" s="8">
        <v>127.0</v>
      </c>
      <c r="B129" s="9" t="s">
        <v>168</v>
      </c>
      <c r="C129" s="8" t="s">
        <v>77</v>
      </c>
      <c r="D129" s="8" t="s">
        <v>97</v>
      </c>
      <c r="E129" s="11">
        <v>1.0</v>
      </c>
    </row>
    <row r="130">
      <c r="A130" s="8">
        <v>128.0</v>
      </c>
      <c r="B130" s="9" t="s">
        <v>169</v>
      </c>
      <c r="C130" s="8" t="s">
        <v>21</v>
      </c>
      <c r="D130" s="8" t="s">
        <v>97</v>
      </c>
      <c r="E130" s="11">
        <v>1.0</v>
      </c>
    </row>
    <row r="131">
      <c r="A131" s="8">
        <v>129.0</v>
      </c>
      <c r="B131" s="9" t="s">
        <v>170</v>
      </c>
      <c r="C131" s="8" t="s">
        <v>23</v>
      </c>
      <c r="D131" s="8" t="s">
        <v>17</v>
      </c>
      <c r="E131" s="11">
        <v>1.0</v>
      </c>
    </row>
    <row r="132">
      <c r="A132" s="8">
        <v>130.0</v>
      </c>
      <c r="B132" s="9" t="s">
        <v>171</v>
      </c>
      <c r="C132" s="8" t="s">
        <v>172</v>
      </c>
      <c r="D132" s="8" t="s">
        <v>17</v>
      </c>
      <c r="E132" s="11">
        <v>1.0</v>
      </c>
    </row>
    <row r="133">
      <c r="A133" s="8">
        <v>131.0</v>
      </c>
      <c r="B133" s="9" t="s">
        <v>173</v>
      </c>
      <c r="C133" s="8" t="s">
        <v>39</v>
      </c>
      <c r="D133" s="8" t="s">
        <v>17</v>
      </c>
      <c r="E133" s="10">
        <v>1.0</v>
      </c>
    </row>
    <row r="134">
      <c r="A134" s="8">
        <v>132.0</v>
      </c>
      <c r="B134" s="9" t="s">
        <v>174</v>
      </c>
      <c r="C134" s="8" t="s">
        <v>45</v>
      </c>
      <c r="D134" s="8" t="s">
        <v>17</v>
      </c>
      <c r="E134" s="10">
        <v>1.0</v>
      </c>
    </row>
    <row r="135">
      <c r="A135" s="8">
        <v>133.0</v>
      </c>
      <c r="B135" s="9" t="s">
        <v>175</v>
      </c>
      <c r="C135" s="8" t="s">
        <v>70</v>
      </c>
      <c r="D135" s="8" t="s">
        <v>43</v>
      </c>
      <c r="E135" s="10">
        <v>1.0</v>
      </c>
    </row>
    <row r="136">
      <c r="A136" s="8">
        <v>134.0</v>
      </c>
      <c r="B136" s="9" t="s">
        <v>176</v>
      </c>
      <c r="C136" s="8" t="s">
        <v>28</v>
      </c>
      <c r="D136" s="8" t="s">
        <v>97</v>
      </c>
      <c r="E136" s="10">
        <v>1.0</v>
      </c>
    </row>
    <row r="137">
      <c r="A137" s="8">
        <v>135.0</v>
      </c>
      <c r="B137" s="9" t="s">
        <v>177</v>
      </c>
      <c r="C137" s="8" t="s">
        <v>34</v>
      </c>
      <c r="D137" s="8" t="s">
        <v>97</v>
      </c>
      <c r="E137" s="10">
        <v>1.0</v>
      </c>
    </row>
    <row r="138">
      <c r="A138" s="8">
        <v>136.0</v>
      </c>
      <c r="B138" s="9" t="s">
        <v>178</v>
      </c>
      <c r="C138" s="8" t="s">
        <v>39</v>
      </c>
      <c r="D138" s="8" t="s">
        <v>43</v>
      </c>
      <c r="E138" s="10">
        <v>1.0</v>
      </c>
    </row>
    <row r="139">
      <c r="A139" s="8">
        <v>137.0</v>
      </c>
      <c r="B139" s="9" t="s">
        <v>179</v>
      </c>
      <c r="C139" s="8" t="s">
        <v>72</v>
      </c>
      <c r="D139" s="8" t="s">
        <v>97</v>
      </c>
      <c r="E139" s="10">
        <v>1.0</v>
      </c>
    </row>
    <row r="140">
      <c r="A140" s="8">
        <v>138.0</v>
      </c>
      <c r="B140" s="9" t="s">
        <v>180</v>
      </c>
      <c r="C140" s="8" t="s">
        <v>23</v>
      </c>
      <c r="D140" s="8" t="s">
        <v>97</v>
      </c>
      <c r="E140" s="10">
        <v>1.0</v>
      </c>
    </row>
    <row r="141">
      <c r="A141" s="8">
        <v>139.0</v>
      </c>
      <c r="B141" s="9" t="s">
        <v>181</v>
      </c>
      <c r="C141" s="8" t="s">
        <v>123</v>
      </c>
      <c r="D141" s="8" t="s">
        <v>97</v>
      </c>
      <c r="E141" s="10">
        <v>1.0</v>
      </c>
    </row>
    <row r="142">
      <c r="A142" s="8">
        <v>140.0</v>
      </c>
      <c r="B142" s="9" t="s">
        <v>182</v>
      </c>
      <c r="C142" s="8" t="s">
        <v>83</v>
      </c>
      <c r="D142" s="8" t="s">
        <v>97</v>
      </c>
      <c r="E142" s="10">
        <v>1.0</v>
      </c>
    </row>
    <row r="143">
      <c r="A143" s="8">
        <v>141.0</v>
      </c>
      <c r="B143" s="9" t="s">
        <v>183</v>
      </c>
      <c r="C143" s="8" t="s">
        <v>51</v>
      </c>
      <c r="D143" s="8" t="s">
        <v>17</v>
      </c>
      <c r="E143" s="10">
        <v>0.0</v>
      </c>
    </row>
    <row r="144">
      <c r="A144" s="8">
        <v>142.0</v>
      </c>
      <c r="B144" s="9" t="s">
        <v>184</v>
      </c>
      <c r="C144" s="8" t="s">
        <v>6</v>
      </c>
      <c r="D144" s="8" t="s">
        <v>17</v>
      </c>
      <c r="E144" s="10">
        <v>0.0</v>
      </c>
    </row>
    <row r="145">
      <c r="A145" s="8">
        <v>143.0</v>
      </c>
      <c r="B145" s="9" t="s">
        <v>185</v>
      </c>
      <c r="C145" s="8" t="s">
        <v>30</v>
      </c>
      <c r="D145" s="8" t="s">
        <v>17</v>
      </c>
      <c r="E145" s="10">
        <v>0.0</v>
      </c>
    </row>
    <row r="146">
      <c r="A146" s="8">
        <v>144.0</v>
      </c>
      <c r="B146" s="9" t="s">
        <v>186</v>
      </c>
      <c r="C146" s="8" t="s">
        <v>63</v>
      </c>
      <c r="D146" s="8" t="s">
        <v>17</v>
      </c>
      <c r="E146" s="10">
        <v>0.0</v>
      </c>
    </row>
    <row r="147">
      <c r="A147" s="8">
        <v>145.0</v>
      </c>
      <c r="B147" s="9" t="s">
        <v>187</v>
      </c>
      <c r="C147" s="8" t="s">
        <v>34</v>
      </c>
      <c r="D147" s="8" t="s">
        <v>17</v>
      </c>
      <c r="E147" s="10">
        <v>0.0</v>
      </c>
    </row>
    <row r="148">
      <c r="A148" s="8">
        <v>146.0</v>
      </c>
      <c r="B148" s="9" t="s">
        <v>188</v>
      </c>
      <c r="C148" s="8" t="s">
        <v>15</v>
      </c>
      <c r="D148" s="8" t="s">
        <v>17</v>
      </c>
      <c r="E148" s="10">
        <v>0.0</v>
      </c>
    </row>
    <row r="149">
      <c r="A149" s="8">
        <v>147.0</v>
      </c>
      <c r="B149" s="9" t="s">
        <v>189</v>
      </c>
      <c r="C149" s="8" t="s">
        <v>15</v>
      </c>
      <c r="D149" s="8" t="s">
        <v>7</v>
      </c>
      <c r="E149" s="10">
        <v>0.0</v>
      </c>
    </row>
    <row r="150">
      <c r="A150" s="8">
        <v>148.0</v>
      </c>
      <c r="B150" s="9" t="s">
        <v>190</v>
      </c>
      <c r="C150" s="8" t="s">
        <v>77</v>
      </c>
      <c r="D150" s="8" t="s">
        <v>7</v>
      </c>
      <c r="E150" s="10">
        <v>0.0</v>
      </c>
    </row>
    <row r="151">
      <c r="A151" s="8">
        <v>149.0</v>
      </c>
      <c r="B151" s="9" t="s">
        <v>191</v>
      </c>
      <c r="C151" s="8" t="s">
        <v>63</v>
      </c>
      <c r="D151" s="8" t="s">
        <v>7</v>
      </c>
      <c r="E151" s="10">
        <v>0.0</v>
      </c>
    </row>
    <row r="152">
      <c r="A152" s="8">
        <v>150.0</v>
      </c>
      <c r="B152" s="9" t="s">
        <v>192</v>
      </c>
      <c r="C152" s="8" t="s">
        <v>53</v>
      </c>
      <c r="D152" s="8" t="s">
        <v>7</v>
      </c>
      <c r="E152" s="10">
        <v>0.0</v>
      </c>
    </row>
    <row r="153">
      <c r="A153" s="8">
        <v>151.0</v>
      </c>
      <c r="B153" s="9" t="s">
        <v>193</v>
      </c>
      <c r="C153" s="8" t="s">
        <v>123</v>
      </c>
      <c r="D153" s="8" t="s">
        <v>7</v>
      </c>
      <c r="E153" s="10">
        <v>0.0</v>
      </c>
    </row>
    <row r="154">
      <c r="A154" s="8">
        <v>152.0</v>
      </c>
      <c r="B154" s="9" t="s">
        <v>194</v>
      </c>
      <c r="C154" s="8" t="s">
        <v>123</v>
      </c>
      <c r="D154" s="8" t="s">
        <v>7</v>
      </c>
      <c r="E154" s="10">
        <v>0.0</v>
      </c>
    </row>
    <row r="155">
      <c r="A155" s="8">
        <v>153.0</v>
      </c>
      <c r="B155" s="9" t="s">
        <v>195</v>
      </c>
      <c r="C155" s="8" t="s">
        <v>75</v>
      </c>
      <c r="D155" s="8" t="s">
        <v>7</v>
      </c>
      <c r="E155" s="10">
        <v>0.0</v>
      </c>
    </row>
    <row r="156">
      <c r="A156" s="8">
        <v>154.0</v>
      </c>
      <c r="B156" s="9" t="s">
        <v>196</v>
      </c>
      <c r="C156" s="8" t="s">
        <v>72</v>
      </c>
      <c r="D156" s="8" t="s">
        <v>7</v>
      </c>
      <c r="E156" s="10">
        <v>0.0</v>
      </c>
    </row>
    <row r="157">
      <c r="A157" s="8">
        <v>155.0</v>
      </c>
      <c r="B157" s="9" t="s">
        <v>197</v>
      </c>
      <c r="C157" s="8" t="s">
        <v>77</v>
      </c>
      <c r="D157" s="8" t="s">
        <v>7</v>
      </c>
      <c r="E157" s="10">
        <v>0.0</v>
      </c>
    </row>
    <row r="158">
      <c r="A158" s="8">
        <v>156.0</v>
      </c>
      <c r="B158" s="9" t="s">
        <v>198</v>
      </c>
      <c r="C158" s="8" t="s">
        <v>30</v>
      </c>
      <c r="D158" s="8" t="s">
        <v>199</v>
      </c>
      <c r="E158" s="10">
        <v>1.0</v>
      </c>
    </row>
    <row r="159">
      <c r="A159" s="8">
        <v>157.0</v>
      </c>
      <c r="B159" s="9" t="s">
        <v>200</v>
      </c>
      <c r="C159" s="8" t="s">
        <v>72</v>
      </c>
      <c r="D159" s="8" t="s">
        <v>43</v>
      </c>
      <c r="E159" s="10">
        <v>0.0</v>
      </c>
    </row>
    <row r="160">
      <c r="A160" s="8">
        <v>158.0</v>
      </c>
      <c r="B160" s="9" t="s">
        <v>201</v>
      </c>
      <c r="C160" s="8" t="s">
        <v>11</v>
      </c>
      <c r="D160" s="8" t="s">
        <v>17</v>
      </c>
      <c r="E160" s="10">
        <v>0.0</v>
      </c>
    </row>
    <row r="161">
      <c r="A161" s="8">
        <v>159.0</v>
      </c>
      <c r="B161" s="9" t="s">
        <v>202</v>
      </c>
      <c r="C161" s="8" t="s">
        <v>60</v>
      </c>
      <c r="D161" s="8" t="s">
        <v>17</v>
      </c>
      <c r="E161" s="10">
        <v>0.0</v>
      </c>
    </row>
    <row r="162">
      <c r="A162" s="8">
        <v>160.0</v>
      </c>
      <c r="B162" s="9" t="s">
        <v>203</v>
      </c>
      <c r="C162" s="8" t="s">
        <v>88</v>
      </c>
      <c r="D162" s="8" t="s">
        <v>17</v>
      </c>
      <c r="E162" s="10">
        <v>0.0</v>
      </c>
    </row>
    <row r="163">
      <c r="A163" s="8">
        <v>161.0</v>
      </c>
      <c r="B163" s="9" t="s">
        <v>204</v>
      </c>
      <c r="C163" s="8" t="s">
        <v>47</v>
      </c>
      <c r="D163" s="8" t="s">
        <v>7</v>
      </c>
      <c r="E163" s="10">
        <v>0.0</v>
      </c>
    </row>
    <row r="164">
      <c r="A164" s="8">
        <v>162.0</v>
      </c>
      <c r="B164" s="9" t="s">
        <v>205</v>
      </c>
      <c r="C164" s="8" t="s">
        <v>13</v>
      </c>
      <c r="D164" s="8" t="s">
        <v>97</v>
      </c>
      <c r="E164" s="10">
        <v>0.0</v>
      </c>
    </row>
    <row r="165">
      <c r="A165" s="8">
        <v>163.0</v>
      </c>
      <c r="B165" s="9" t="s">
        <v>206</v>
      </c>
      <c r="C165" s="8" t="s">
        <v>9</v>
      </c>
      <c r="D165" s="8" t="s">
        <v>97</v>
      </c>
      <c r="E165" s="10">
        <v>0.0</v>
      </c>
    </row>
    <row r="166">
      <c r="A166" s="8">
        <v>164.0</v>
      </c>
      <c r="B166" s="9" t="s">
        <v>207</v>
      </c>
      <c r="C166" s="8" t="s">
        <v>30</v>
      </c>
      <c r="D166" s="8" t="s">
        <v>43</v>
      </c>
      <c r="E166" s="10">
        <v>0.0</v>
      </c>
    </row>
    <row r="167">
      <c r="A167" s="8">
        <v>165.0</v>
      </c>
      <c r="B167" s="9" t="s">
        <v>208</v>
      </c>
      <c r="C167" s="8" t="s">
        <v>30</v>
      </c>
      <c r="D167" s="8" t="s">
        <v>17</v>
      </c>
      <c r="E167" s="10">
        <v>0.0</v>
      </c>
    </row>
    <row r="168">
      <c r="A168" s="8">
        <v>166.0</v>
      </c>
      <c r="B168" s="9" t="s">
        <v>209</v>
      </c>
      <c r="C168" s="8" t="s">
        <v>49</v>
      </c>
      <c r="D168" s="8" t="s">
        <v>43</v>
      </c>
      <c r="E168" s="10">
        <v>0.0</v>
      </c>
    </row>
    <row r="169">
      <c r="A169" s="8">
        <v>167.0</v>
      </c>
      <c r="B169" s="9" t="s">
        <v>210</v>
      </c>
      <c r="C169" s="8" t="s">
        <v>60</v>
      </c>
      <c r="D169" s="8" t="s">
        <v>7</v>
      </c>
      <c r="E169" s="10">
        <v>0.0</v>
      </c>
    </row>
    <row r="170">
      <c r="A170" s="8">
        <v>168.0</v>
      </c>
      <c r="B170" s="9" t="s">
        <v>211</v>
      </c>
      <c r="C170" s="8" t="s">
        <v>51</v>
      </c>
      <c r="D170" s="8" t="s">
        <v>97</v>
      </c>
      <c r="E170" s="10">
        <v>0.0</v>
      </c>
    </row>
    <row r="171">
      <c r="A171" s="8">
        <v>169.0</v>
      </c>
      <c r="B171" s="9" t="s">
        <v>212</v>
      </c>
      <c r="C171" s="8" t="s">
        <v>75</v>
      </c>
      <c r="D171" s="8" t="s">
        <v>17</v>
      </c>
      <c r="E171" s="10">
        <v>0.0</v>
      </c>
    </row>
    <row r="172">
      <c r="A172" s="8">
        <v>170.0</v>
      </c>
      <c r="B172" s="9" t="s">
        <v>213</v>
      </c>
      <c r="C172" s="8" t="s">
        <v>60</v>
      </c>
      <c r="D172" s="8" t="s">
        <v>199</v>
      </c>
      <c r="E172" s="10">
        <v>1.0</v>
      </c>
    </row>
    <row r="173">
      <c r="A173" s="8">
        <v>171.0</v>
      </c>
      <c r="B173" s="9" t="s">
        <v>214</v>
      </c>
      <c r="C173" s="8" t="s">
        <v>9</v>
      </c>
      <c r="D173" s="8" t="s">
        <v>199</v>
      </c>
      <c r="E173" s="10">
        <v>1.0</v>
      </c>
    </row>
    <row r="174">
      <c r="A174" s="8">
        <v>172.0</v>
      </c>
      <c r="B174" s="9" t="s">
        <v>215</v>
      </c>
      <c r="C174" s="8" t="s">
        <v>32</v>
      </c>
      <c r="D174" s="8" t="s">
        <v>199</v>
      </c>
      <c r="E174" s="10">
        <v>1.0</v>
      </c>
    </row>
    <row r="175">
      <c r="A175" s="8">
        <v>173.0</v>
      </c>
      <c r="B175" s="9" t="s">
        <v>216</v>
      </c>
      <c r="C175" s="8" t="s">
        <v>26</v>
      </c>
      <c r="D175" s="8" t="s">
        <v>199</v>
      </c>
      <c r="E175" s="10">
        <v>1.0</v>
      </c>
    </row>
    <row r="176">
      <c r="A176" s="8">
        <v>174.0</v>
      </c>
      <c r="B176" s="9" t="s">
        <v>217</v>
      </c>
      <c r="C176" s="8" t="s">
        <v>88</v>
      </c>
      <c r="D176" s="8" t="s">
        <v>199</v>
      </c>
      <c r="E176" s="10">
        <v>1.0</v>
      </c>
    </row>
    <row r="177">
      <c r="A177" s="8">
        <v>175.0</v>
      </c>
      <c r="B177" s="9" t="s">
        <v>218</v>
      </c>
      <c r="C177" s="8" t="s">
        <v>9</v>
      </c>
      <c r="D177" s="8" t="s">
        <v>219</v>
      </c>
      <c r="E177" s="10">
        <v>1.0</v>
      </c>
    </row>
    <row r="178">
      <c r="A178" s="8">
        <v>176.0</v>
      </c>
      <c r="B178" s="9" t="s">
        <v>220</v>
      </c>
      <c r="C178" s="8" t="s">
        <v>15</v>
      </c>
      <c r="D178" s="8" t="s">
        <v>219</v>
      </c>
      <c r="E178" s="10">
        <v>1.0</v>
      </c>
    </row>
    <row r="179">
      <c r="A179" s="8">
        <v>177.0</v>
      </c>
      <c r="B179" s="9" t="s">
        <v>221</v>
      </c>
      <c r="C179" s="8" t="s">
        <v>88</v>
      </c>
      <c r="D179" s="8" t="s">
        <v>219</v>
      </c>
      <c r="E179" s="10">
        <v>1.0</v>
      </c>
    </row>
    <row r="180">
      <c r="A180" s="8">
        <v>178.0</v>
      </c>
      <c r="B180" s="9" t="s">
        <v>222</v>
      </c>
      <c r="C180" s="8" t="s">
        <v>15</v>
      </c>
      <c r="D180" s="8" t="s">
        <v>199</v>
      </c>
      <c r="E180" s="10">
        <v>1.0</v>
      </c>
    </row>
    <row r="181">
      <c r="A181" s="8">
        <v>179.0</v>
      </c>
      <c r="B181" s="9" t="s">
        <v>223</v>
      </c>
      <c r="C181" s="8" t="s">
        <v>34</v>
      </c>
      <c r="D181" s="8" t="s">
        <v>199</v>
      </c>
      <c r="E181" s="10">
        <v>1.0</v>
      </c>
    </row>
    <row r="182">
      <c r="A182" s="8">
        <v>180.0</v>
      </c>
      <c r="B182" s="9" t="s">
        <v>224</v>
      </c>
      <c r="C182" s="8" t="s">
        <v>63</v>
      </c>
      <c r="D182" s="8" t="s">
        <v>199</v>
      </c>
      <c r="E182" s="10">
        <v>1.0</v>
      </c>
    </row>
    <row r="183">
      <c r="A183" s="8">
        <v>181.0</v>
      </c>
      <c r="B183" s="9" t="s">
        <v>225</v>
      </c>
      <c r="C183" s="8" t="s">
        <v>21</v>
      </c>
      <c r="D183" s="8" t="s">
        <v>199</v>
      </c>
      <c r="E183" s="10">
        <v>1.0</v>
      </c>
    </row>
    <row r="184">
      <c r="A184" s="8">
        <v>182.0</v>
      </c>
      <c r="B184" s="9" t="s">
        <v>226</v>
      </c>
      <c r="C184" s="8" t="s">
        <v>83</v>
      </c>
      <c r="D184" s="8" t="s">
        <v>199</v>
      </c>
      <c r="E184" s="10">
        <v>1.0</v>
      </c>
    </row>
    <row r="185">
      <c r="A185" s="8">
        <v>183.0</v>
      </c>
      <c r="B185" s="9" t="s">
        <v>227</v>
      </c>
      <c r="C185" s="8" t="s">
        <v>41</v>
      </c>
      <c r="D185" s="8" t="s">
        <v>199</v>
      </c>
      <c r="E185" s="10">
        <v>1.0</v>
      </c>
    </row>
    <row r="186">
      <c r="A186" s="8">
        <v>184.0</v>
      </c>
      <c r="B186" s="9" t="s">
        <v>228</v>
      </c>
      <c r="C186" s="8" t="s">
        <v>23</v>
      </c>
      <c r="D186" s="8" t="s">
        <v>219</v>
      </c>
      <c r="E186" s="10">
        <v>1.0</v>
      </c>
    </row>
    <row r="187">
      <c r="A187" s="8">
        <v>185.0</v>
      </c>
      <c r="B187" s="9" t="s">
        <v>229</v>
      </c>
      <c r="C187" s="8" t="s">
        <v>21</v>
      </c>
      <c r="D187" s="8" t="s">
        <v>219</v>
      </c>
      <c r="E187" s="10">
        <v>1.0</v>
      </c>
    </row>
    <row r="188">
      <c r="A188" s="8">
        <v>186.0</v>
      </c>
      <c r="B188" s="9" t="s">
        <v>230</v>
      </c>
      <c r="C188" s="8" t="s">
        <v>6</v>
      </c>
      <c r="D188" s="8" t="s">
        <v>219</v>
      </c>
      <c r="E188" s="10">
        <v>1.0</v>
      </c>
    </row>
    <row r="189">
      <c r="A189" s="8">
        <v>187.0</v>
      </c>
      <c r="B189" s="9" t="s">
        <v>231</v>
      </c>
      <c r="C189" s="8" t="s">
        <v>72</v>
      </c>
      <c r="D189" s="8" t="s">
        <v>219</v>
      </c>
      <c r="E189" s="10">
        <v>1.0</v>
      </c>
    </row>
    <row r="190">
      <c r="A190" s="8">
        <v>188.0</v>
      </c>
      <c r="B190" s="9" t="s">
        <v>232</v>
      </c>
      <c r="C190" s="8" t="s">
        <v>60</v>
      </c>
      <c r="D190" s="8" t="s">
        <v>219</v>
      </c>
      <c r="E190" s="10">
        <v>1.0</v>
      </c>
    </row>
    <row r="191">
      <c r="A191" s="8">
        <v>189.0</v>
      </c>
      <c r="B191" s="9" t="s">
        <v>233</v>
      </c>
      <c r="C191" s="8" t="s">
        <v>77</v>
      </c>
      <c r="D191" s="8" t="s">
        <v>219</v>
      </c>
      <c r="E191" s="10">
        <v>1.0</v>
      </c>
    </row>
    <row r="192">
      <c r="A192" s="8">
        <v>190.0</v>
      </c>
      <c r="B192" s="9" t="s">
        <v>234</v>
      </c>
      <c r="C192" s="8" t="s">
        <v>28</v>
      </c>
      <c r="D192" s="8" t="s">
        <v>219</v>
      </c>
      <c r="E192" s="10">
        <v>1.0</v>
      </c>
    </row>
    <row r="193">
      <c r="A193" s="8">
        <v>191.0</v>
      </c>
      <c r="B193" s="9" t="s">
        <v>235</v>
      </c>
      <c r="C193" s="8" t="s">
        <v>53</v>
      </c>
      <c r="D193" s="8" t="s">
        <v>219</v>
      </c>
      <c r="E193" s="10">
        <v>1.0</v>
      </c>
    </row>
    <row r="194">
      <c r="A194" s="8">
        <v>192.0</v>
      </c>
      <c r="B194" s="9" t="s">
        <v>236</v>
      </c>
      <c r="C194" s="8" t="s">
        <v>41</v>
      </c>
      <c r="D194" s="8" t="s">
        <v>219</v>
      </c>
      <c r="E194" s="10">
        <v>1.0</v>
      </c>
    </row>
    <row r="195">
      <c r="A195" s="8">
        <v>193.0</v>
      </c>
      <c r="B195" s="9" t="s">
        <v>237</v>
      </c>
      <c r="C195" s="8" t="s">
        <v>88</v>
      </c>
      <c r="D195" s="8" t="s">
        <v>7</v>
      </c>
      <c r="E195" s="10">
        <v>0.0</v>
      </c>
    </row>
    <row r="196">
      <c r="A196" s="8">
        <v>194.0</v>
      </c>
      <c r="B196" s="9" t="s">
        <v>238</v>
      </c>
      <c r="C196" s="8" t="s">
        <v>95</v>
      </c>
      <c r="D196" s="8" t="s">
        <v>7</v>
      </c>
      <c r="E196" s="10">
        <v>0.0</v>
      </c>
    </row>
    <row r="197">
      <c r="A197" s="8">
        <v>195.0</v>
      </c>
      <c r="B197" s="9" t="s">
        <v>239</v>
      </c>
      <c r="C197" s="8" t="s">
        <v>60</v>
      </c>
      <c r="D197" s="8" t="s">
        <v>7</v>
      </c>
      <c r="E197" s="10">
        <v>0.0</v>
      </c>
    </row>
    <row r="198">
      <c r="A198" s="8">
        <v>196.0</v>
      </c>
      <c r="B198" s="9" t="s">
        <v>240</v>
      </c>
      <c r="C198" s="8" t="s">
        <v>75</v>
      </c>
      <c r="D198" s="8" t="s">
        <v>43</v>
      </c>
      <c r="E198" s="10">
        <v>0.0</v>
      </c>
    </row>
    <row r="199">
      <c r="A199" s="8">
        <v>197.0</v>
      </c>
      <c r="B199" s="9" t="s">
        <v>241</v>
      </c>
      <c r="C199" s="8" t="s">
        <v>6</v>
      </c>
      <c r="D199" s="8" t="s">
        <v>43</v>
      </c>
      <c r="E199" s="10">
        <v>0.0</v>
      </c>
    </row>
    <row r="200">
      <c r="A200" s="8">
        <v>198.0</v>
      </c>
      <c r="B200" s="9" t="s">
        <v>242</v>
      </c>
      <c r="C200" s="8" t="s">
        <v>21</v>
      </c>
      <c r="D200" s="8" t="s">
        <v>43</v>
      </c>
      <c r="E200" s="10">
        <v>0.0</v>
      </c>
    </row>
    <row r="201">
      <c r="A201" s="8">
        <v>199.0</v>
      </c>
      <c r="B201" s="9" t="s">
        <v>243</v>
      </c>
      <c r="C201" s="8" t="s">
        <v>26</v>
      </c>
      <c r="D201" s="8" t="s">
        <v>7</v>
      </c>
      <c r="E201" s="10">
        <v>0.0</v>
      </c>
    </row>
    <row r="202">
      <c r="A202" s="8">
        <v>200.0</v>
      </c>
      <c r="B202" s="9" t="s">
        <v>244</v>
      </c>
      <c r="C202" s="8" t="s">
        <v>70</v>
      </c>
      <c r="D202" s="8" t="s">
        <v>7</v>
      </c>
      <c r="E202" s="10">
        <v>0.0</v>
      </c>
    </row>
    <row r="203">
      <c r="A203" s="8">
        <v>201.0</v>
      </c>
      <c r="B203" s="9" t="s">
        <v>245</v>
      </c>
      <c r="C203" s="8" t="s">
        <v>34</v>
      </c>
      <c r="D203" s="8" t="s">
        <v>7</v>
      </c>
      <c r="E203" s="10">
        <v>0.0</v>
      </c>
    </row>
    <row r="204">
      <c r="A204" s="8">
        <v>202.0</v>
      </c>
      <c r="B204" s="9" t="s">
        <v>246</v>
      </c>
      <c r="C204" s="8" t="s">
        <v>28</v>
      </c>
      <c r="D204" s="8" t="s">
        <v>7</v>
      </c>
      <c r="E204" s="10">
        <v>0.0</v>
      </c>
    </row>
    <row r="205">
      <c r="A205" s="8">
        <v>203.0</v>
      </c>
      <c r="B205" s="9" t="s">
        <v>247</v>
      </c>
      <c r="C205" s="8" t="s">
        <v>11</v>
      </c>
      <c r="D205" s="8" t="s">
        <v>7</v>
      </c>
      <c r="E205" s="10">
        <v>0.0</v>
      </c>
    </row>
    <row r="206">
      <c r="A206" s="8">
        <v>205.0</v>
      </c>
      <c r="B206" s="9" t="s">
        <v>248</v>
      </c>
      <c r="C206" s="8" t="s">
        <v>49</v>
      </c>
      <c r="D206" s="8" t="s">
        <v>7</v>
      </c>
      <c r="E206" s="10">
        <v>0.0</v>
      </c>
    </row>
    <row r="207">
      <c r="A207" s="8">
        <v>206.0</v>
      </c>
      <c r="B207" s="9" t="s">
        <v>249</v>
      </c>
      <c r="C207" s="8" t="s">
        <v>95</v>
      </c>
      <c r="D207" s="8" t="s">
        <v>7</v>
      </c>
      <c r="E207" s="10">
        <v>0.0</v>
      </c>
    </row>
    <row r="208">
      <c r="A208" s="8">
        <v>207.0</v>
      </c>
      <c r="B208" s="9" t="s">
        <v>250</v>
      </c>
      <c r="C208" s="8" t="s">
        <v>19</v>
      </c>
      <c r="D208" s="8" t="s">
        <v>7</v>
      </c>
      <c r="E208" s="10">
        <v>0.0</v>
      </c>
    </row>
    <row r="209">
      <c r="A209" s="8">
        <v>208.0</v>
      </c>
      <c r="B209" s="9" t="s">
        <v>251</v>
      </c>
      <c r="C209" s="8" t="s">
        <v>88</v>
      </c>
      <c r="D209" s="8" t="s">
        <v>7</v>
      </c>
      <c r="E209" s="10">
        <v>0.0</v>
      </c>
    </row>
    <row r="210">
      <c r="A210" s="8">
        <v>209.0</v>
      </c>
      <c r="B210" s="9" t="s">
        <v>252</v>
      </c>
      <c r="C210" s="8" t="s">
        <v>13</v>
      </c>
      <c r="D210" s="8" t="s">
        <v>7</v>
      </c>
      <c r="E210" s="10">
        <v>0.0</v>
      </c>
    </row>
    <row r="211">
      <c r="A211" s="8">
        <v>210.0</v>
      </c>
      <c r="B211" s="9" t="s">
        <v>253</v>
      </c>
      <c r="C211" s="8" t="s">
        <v>53</v>
      </c>
      <c r="D211" s="8" t="s">
        <v>43</v>
      </c>
      <c r="E211" s="10">
        <v>0.0</v>
      </c>
    </row>
    <row r="212">
      <c r="A212" s="8">
        <v>211.0</v>
      </c>
      <c r="B212" s="9" t="s">
        <v>254</v>
      </c>
      <c r="C212" s="8" t="s">
        <v>49</v>
      </c>
      <c r="D212" s="8" t="s">
        <v>43</v>
      </c>
      <c r="E212" s="10">
        <v>0.0</v>
      </c>
    </row>
    <row r="213">
      <c r="A213" s="8">
        <v>212.0</v>
      </c>
      <c r="B213" s="9" t="s">
        <v>255</v>
      </c>
      <c r="C213" s="8" t="s">
        <v>67</v>
      </c>
      <c r="D213" s="8" t="s">
        <v>97</v>
      </c>
      <c r="E213" s="10">
        <v>0.0</v>
      </c>
    </row>
    <row r="214">
      <c r="A214" s="8">
        <v>213.0</v>
      </c>
      <c r="B214" s="9" t="s">
        <v>256</v>
      </c>
      <c r="C214" s="8" t="s">
        <v>95</v>
      </c>
      <c r="D214" s="8" t="s">
        <v>17</v>
      </c>
      <c r="E214" s="10">
        <v>0.0</v>
      </c>
    </row>
    <row r="215">
      <c r="A215" s="8">
        <v>214.0</v>
      </c>
      <c r="B215" s="9" t="s">
        <v>257</v>
      </c>
      <c r="C215" s="8" t="s">
        <v>95</v>
      </c>
      <c r="D215" s="8" t="s">
        <v>17</v>
      </c>
      <c r="E215" s="10">
        <v>0.0</v>
      </c>
    </row>
    <row r="216">
      <c r="A216" s="8">
        <v>215.0</v>
      </c>
      <c r="B216" s="9" t="s">
        <v>258</v>
      </c>
      <c r="C216" s="8" t="s">
        <v>39</v>
      </c>
      <c r="D216" s="8" t="s">
        <v>17</v>
      </c>
      <c r="E216" s="10">
        <v>0.0</v>
      </c>
    </row>
    <row r="217">
      <c r="A217" s="8">
        <v>216.0</v>
      </c>
      <c r="B217" s="9" t="s">
        <v>259</v>
      </c>
      <c r="C217" s="8" t="s">
        <v>45</v>
      </c>
      <c r="D217" s="8" t="s">
        <v>17</v>
      </c>
      <c r="E217" s="10">
        <v>0.0</v>
      </c>
    </row>
    <row r="218">
      <c r="A218" s="8">
        <v>217.0</v>
      </c>
      <c r="B218" s="9" t="s">
        <v>260</v>
      </c>
      <c r="C218" s="8" t="s">
        <v>21</v>
      </c>
      <c r="D218" s="8" t="s">
        <v>17</v>
      </c>
      <c r="E218" s="10">
        <v>0.0</v>
      </c>
    </row>
    <row r="219">
      <c r="A219" s="8">
        <v>218.0</v>
      </c>
      <c r="B219" s="9" t="s">
        <v>261</v>
      </c>
      <c r="C219" s="8" t="s">
        <v>13</v>
      </c>
      <c r="D219" s="8" t="s">
        <v>17</v>
      </c>
      <c r="E219" s="10">
        <v>0.0</v>
      </c>
    </row>
    <row r="220">
      <c r="A220" s="8">
        <v>219.0</v>
      </c>
      <c r="B220" s="9" t="s">
        <v>262</v>
      </c>
      <c r="C220" s="8" t="s">
        <v>39</v>
      </c>
      <c r="D220" s="8" t="s">
        <v>97</v>
      </c>
      <c r="E220" s="10">
        <v>0.0</v>
      </c>
    </row>
    <row r="221">
      <c r="A221" s="8">
        <v>220.0</v>
      </c>
      <c r="B221" s="9" t="s">
        <v>263</v>
      </c>
      <c r="C221" s="8" t="s">
        <v>45</v>
      </c>
      <c r="D221" s="8" t="s">
        <v>97</v>
      </c>
      <c r="E221" s="10">
        <v>0.0</v>
      </c>
    </row>
    <row r="222">
      <c r="A222" s="8">
        <v>221.0</v>
      </c>
      <c r="B222" s="9" t="s">
        <v>264</v>
      </c>
      <c r="C222" s="8" t="s">
        <v>123</v>
      </c>
      <c r="D222" s="8" t="s">
        <v>199</v>
      </c>
      <c r="E222" s="10">
        <v>0.0</v>
      </c>
    </row>
    <row r="223">
      <c r="A223" s="8">
        <v>222.0</v>
      </c>
      <c r="B223" s="9" t="s">
        <v>265</v>
      </c>
      <c r="C223" s="8" t="s">
        <v>11</v>
      </c>
      <c r="D223" s="8" t="s">
        <v>199</v>
      </c>
      <c r="E223" s="10">
        <v>0.0</v>
      </c>
    </row>
    <row r="224">
      <c r="A224" s="8">
        <v>223.0</v>
      </c>
      <c r="B224" s="9" t="s">
        <v>266</v>
      </c>
      <c r="C224" s="8" t="s">
        <v>13</v>
      </c>
      <c r="D224" s="8" t="s">
        <v>219</v>
      </c>
      <c r="E224" s="10">
        <v>0.0</v>
      </c>
    </row>
    <row r="225">
      <c r="A225" s="8">
        <v>224.0</v>
      </c>
      <c r="B225" s="9" t="s">
        <v>267</v>
      </c>
      <c r="C225" s="8" t="s">
        <v>83</v>
      </c>
      <c r="D225" s="8" t="s">
        <v>219</v>
      </c>
      <c r="E225" s="10">
        <v>0.0</v>
      </c>
    </row>
    <row r="226">
      <c r="A226" s="8">
        <v>225.0</v>
      </c>
      <c r="B226" s="9" t="s">
        <v>268</v>
      </c>
      <c r="C226" s="8" t="s">
        <v>67</v>
      </c>
      <c r="D226" s="8" t="s">
        <v>17</v>
      </c>
      <c r="E226" s="10">
        <v>0.0</v>
      </c>
    </row>
    <row r="227">
      <c r="A227" s="8">
        <v>226.0</v>
      </c>
      <c r="B227" s="9" t="s">
        <v>269</v>
      </c>
      <c r="C227" s="8" t="s">
        <v>88</v>
      </c>
      <c r="D227" s="8" t="s">
        <v>17</v>
      </c>
      <c r="E227" s="10">
        <v>0.0</v>
      </c>
    </row>
    <row r="228">
      <c r="A228" s="8">
        <v>227.0</v>
      </c>
      <c r="B228" s="9" t="s">
        <v>270</v>
      </c>
      <c r="C228" s="8" t="s">
        <v>34</v>
      </c>
      <c r="D228" s="8" t="s">
        <v>17</v>
      </c>
      <c r="E228" s="10">
        <v>0.0</v>
      </c>
    </row>
    <row r="229">
      <c r="A229" s="8">
        <v>228.0</v>
      </c>
      <c r="B229" s="9" t="s">
        <v>271</v>
      </c>
      <c r="C229" s="8" t="s">
        <v>70</v>
      </c>
      <c r="D229" s="8" t="s">
        <v>17</v>
      </c>
      <c r="E229" s="10">
        <v>0.0</v>
      </c>
    </row>
    <row r="230">
      <c r="A230" s="8">
        <v>229.0</v>
      </c>
      <c r="B230" s="9" t="s">
        <v>272</v>
      </c>
      <c r="C230" s="8" t="s">
        <v>65</v>
      </c>
      <c r="D230" s="8" t="s">
        <v>17</v>
      </c>
      <c r="E230" s="10">
        <v>0.0</v>
      </c>
    </row>
    <row r="231">
      <c r="A231" s="8">
        <v>230.0</v>
      </c>
      <c r="B231" s="9" t="s">
        <v>273</v>
      </c>
      <c r="C231" s="8" t="s">
        <v>34</v>
      </c>
      <c r="D231" s="8" t="s">
        <v>17</v>
      </c>
      <c r="E231" s="10">
        <v>0.0</v>
      </c>
    </row>
    <row r="232">
      <c r="A232" s="8">
        <v>231.0</v>
      </c>
      <c r="B232" s="9" t="s">
        <v>274</v>
      </c>
      <c r="C232" s="8" t="s">
        <v>13</v>
      </c>
      <c r="D232" s="8" t="s">
        <v>17</v>
      </c>
      <c r="E232" s="10">
        <v>0.0</v>
      </c>
    </row>
    <row r="233">
      <c r="A233" s="8">
        <v>232.0</v>
      </c>
      <c r="B233" s="9" t="s">
        <v>275</v>
      </c>
      <c r="C233" s="8" t="s">
        <v>53</v>
      </c>
      <c r="D233" s="8" t="s">
        <v>17</v>
      </c>
      <c r="E233" s="10">
        <v>0.0</v>
      </c>
    </row>
    <row r="234">
      <c r="A234" s="8">
        <v>233.0</v>
      </c>
      <c r="B234" s="9" t="s">
        <v>276</v>
      </c>
      <c r="C234" s="8" t="s">
        <v>95</v>
      </c>
      <c r="D234" s="8" t="s">
        <v>17</v>
      </c>
      <c r="E234" s="10">
        <v>0.0</v>
      </c>
    </row>
    <row r="235">
      <c r="A235" s="8">
        <v>234.0</v>
      </c>
      <c r="B235" s="9" t="s">
        <v>277</v>
      </c>
      <c r="C235" s="8" t="s">
        <v>83</v>
      </c>
      <c r="D235" s="8" t="s">
        <v>17</v>
      </c>
      <c r="E235" s="10">
        <v>0.0</v>
      </c>
    </row>
    <row r="236">
      <c r="A236" s="8">
        <v>235.0</v>
      </c>
      <c r="B236" s="9" t="s">
        <v>278</v>
      </c>
      <c r="C236" s="8" t="s">
        <v>30</v>
      </c>
      <c r="D236" s="8" t="s">
        <v>7</v>
      </c>
      <c r="E236" s="10">
        <v>0.0</v>
      </c>
    </row>
    <row r="237">
      <c r="A237" s="8">
        <v>236.0</v>
      </c>
      <c r="B237" s="9" t="s">
        <v>279</v>
      </c>
      <c r="C237" s="8" t="s">
        <v>9</v>
      </c>
      <c r="D237" s="8" t="s">
        <v>7</v>
      </c>
      <c r="E237" s="10">
        <v>0.0</v>
      </c>
    </row>
    <row r="238">
      <c r="A238" s="8">
        <v>237.0</v>
      </c>
      <c r="B238" s="9" t="s">
        <v>280</v>
      </c>
      <c r="C238" s="8" t="s">
        <v>65</v>
      </c>
      <c r="D238" s="8" t="s">
        <v>7</v>
      </c>
      <c r="E238" s="10">
        <v>0.0</v>
      </c>
    </row>
    <row r="239">
      <c r="A239" s="8">
        <v>238.0</v>
      </c>
      <c r="B239" s="9" t="s">
        <v>281</v>
      </c>
      <c r="C239" s="8" t="s">
        <v>30</v>
      </c>
      <c r="D239" s="8" t="s">
        <v>7</v>
      </c>
      <c r="E239" s="10">
        <v>0.0</v>
      </c>
    </row>
    <row r="240">
      <c r="A240" s="8">
        <v>239.0</v>
      </c>
      <c r="B240" s="9" t="s">
        <v>282</v>
      </c>
      <c r="C240" s="8" t="s">
        <v>26</v>
      </c>
      <c r="D240" s="8" t="s">
        <v>7</v>
      </c>
      <c r="E240" s="10">
        <v>0.0</v>
      </c>
    </row>
    <row r="241">
      <c r="A241" s="8">
        <v>240.0</v>
      </c>
      <c r="B241" s="9" t="s">
        <v>283</v>
      </c>
      <c r="C241" s="8" t="s">
        <v>39</v>
      </c>
      <c r="D241" s="8" t="s">
        <v>7</v>
      </c>
      <c r="E241" s="10">
        <v>0.0</v>
      </c>
    </row>
    <row r="242">
      <c r="A242" s="8">
        <v>241.0</v>
      </c>
      <c r="B242" s="9" t="s">
        <v>284</v>
      </c>
      <c r="C242" s="8" t="s">
        <v>13</v>
      </c>
      <c r="D242" s="8" t="s">
        <v>7</v>
      </c>
      <c r="E242" s="10">
        <v>0.0</v>
      </c>
    </row>
    <row r="243">
      <c r="A243" s="8">
        <v>242.0</v>
      </c>
      <c r="B243" s="9" t="s">
        <v>285</v>
      </c>
      <c r="C243" s="8" t="s">
        <v>49</v>
      </c>
      <c r="D243" s="8" t="s">
        <v>7</v>
      </c>
      <c r="E243" s="10">
        <v>0.0</v>
      </c>
    </row>
    <row r="244">
      <c r="A244" s="8">
        <v>243.0</v>
      </c>
      <c r="B244" s="9" t="s">
        <v>286</v>
      </c>
      <c r="C244" s="8" t="s">
        <v>19</v>
      </c>
      <c r="D244" s="8" t="s">
        <v>97</v>
      </c>
      <c r="E244" s="10">
        <v>0.0</v>
      </c>
    </row>
    <row r="245">
      <c r="A245" s="8">
        <v>244.0</v>
      </c>
      <c r="B245" s="9" t="s">
        <v>287</v>
      </c>
      <c r="C245" s="8" t="s">
        <v>49</v>
      </c>
      <c r="D245" s="8" t="s">
        <v>97</v>
      </c>
      <c r="E245" s="10">
        <v>0.0</v>
      </c>
    </row>
    <row r="246">
      <c r="A246" s="8">
        <v>245.0</v>
      </c>
      <c r="B246" s="9" t="s">
        <v>288</v>
      </c>
      <c r="C246" s="8" t="s">
        <v>75</v>
      </c>
      <c r="D246" s="8" t="s">
        <v>97</v>
      </c>
      <c r="E246" s="10">
        <v>0.0</v>
      </c>
    </row>
    <row r="247">
      <c r="A247" s="8">
        <v>246.0</v>
      </c>
      <c r="B247" s="9" t="s">
        <v>289</v>
      </c>
      <c r="C247" s="8" t="s">
        <v>11</v>
      </c>
      <c r="D247" s="8" t="s">
        <v>43</v>
      </c>
      <c r="E247" s="10">
        <v>0.0</v>
      </c>
    </row>
    <row r="248">
      <c r="A248" s="8">
        <v>247.0</v>
      </c>
      <c r="B248" s="9" t="s">
        <v>290</v>
      </c>
      <c r="C248" s="8" t="s">
        <v>23</v>
      </c>
      <c r="D248" s="8" t="s">
        <v>43</v>
      </c>
      <c r="E248" s="10">
        <v>0.0</v>
      </c>
    </row>
    <row r="249">
      <c r="A249" s="8">
        <v>248.0</v>
      </c>
      <c r="B249" s="9" t="s">
        <v>291</v>
      </c>
      <c r="C249" s="8" t="s">
        <v>45</v>
      </c>
      <c r="D249" s="8" t="s">
        <v>43</v>
      </c>
      <c r="E249" s="10">
        <v>0.0</v>
      </c>
    </row>
    <row r="250">
      <c r="A250" s="8">
        <v>249.0</v>
      </c>
      <c r="B250" s="9" t="s">
        <v>292</v>
      </c>
      <c r="C250" s="8" t="s">
        <v>172</v>
      </c>
      <c r="D250" s="8" t="s">
        <v>43</v>
      </c>
      <c r="E250" s="10">
        <v>0.0</v>
      </c>
    </row>
    <row r="251">
      <c r="A251" s="8">
        <v>250.0</v>
      </c>
      <c r="B251" s="9" t="s">
        <v>293</v>
      </c>
      <c r="C251" s="8" t="s">
        <v>19</v>
      </c>
      <c r="D251" s="8" t="s">
        <v>7</v>
      </c>
      <c r="E251" s="10">
        <v>0.0</v>
      </c>
    </row>
    <row r="252">
      <c r="A252" s="8">
        <v>253.0</v>
      </c>
      <c r="B252" s="9" t="s">
        <v>294</v>
      </c>
      <c r="C252" s="8" t="s">
        <v>23</v>
      </c>
      <c r="D252" s="8" t="s">
        <v>199</v>
      </c>
      <c r="E252" s="10">
        <v>0.0</v>
      </c>
    </row>
    <row r="253">
      <c r="A253" s="8">
        <v>255.0</v>
      </c>
      <c r="B253" s="9" t="s">
        <v>295</v>
      </c>
      <c r="C253" s="8" t="s">
        <v>32</v>
      </c>
      <c r="D253" s="8" t="s">
        <v>219</v>
      </c>
      <c r="E253" s="10">
        <v>0.0</v>
      </c>
    </row>
    <row r="254">
      <c r="A254" s="8">
        <v>257.0</v>
      </c>
      <c r="B254" s="9" t="s">
        <v>296</v>
      </c>
      <c r="C254" s="8" t="s">
        <v>26</v>
      </c>
      <c r="D254" s="8" t="s">
        <v>43</v>
      </c>
      <c r="E254" s="10">
        <v>0.0</v>
      </c>
    </row>
    <row r="255">
      <c r="A255" s="8">
        <v>258.0</v>
      </c>
      <c r="B255" s="9" t="s">
        <v>297</v>
      </c>
      <c r="C255" s="8" t="s">
        <v>9</v>
      </c>
      <c r="D255" s="8" t="s">
        <v>43</v>
      </c>
      <c r="E255" s="10">
        <v>0.0</v>
      </c>
    </row>
    <row r="256">
      <c r="A256" s="8">
        <v>259.0</v>
      </c>
      <c r="B256" s="9" t="s">
        <v>298</v>
      </c>
      <c r="C256" s="8" t="s">
        <v>88</v>
      </c>
      <c r="D256" s="8" t="s">
        <v>43</v>
      </c>
      <c r="E256" s="10">
        <v>0.0</v>
      </c>
    </row>
    <row r="257">
      <c r="A257" s="8">
        <v>264.0</v>
      </c>
      <c r="B257" s="9" t="s">
        <v>299</v>
      </c>
      <c r="C257" s="8" t="s">
        <v>72</v>
      </c>
      <c r="D257" s="8" t="s">
        <v>7</v>
      </c>
      <c r="E257" s="10">
        <v>0.0</v>
      </c>
    </row>
    <row r="258">
      <c r="A258" s="8">
        <v>265.0</v>
      </c>
      <c r="B258" s="9" t="s">
        <v>300</v>
      </c>
      <c r="C258" s="8" t="s">
        <v>6</v>
      </c>
      <c r="D258" s="8" t="s">
        <v>7</v>
      </c>
      <c r="E258" s="10">
        <v>0.0</v>
      </c>
    </row>
    <row r="259">
      <c r="A259" s="8">
        <v>266.0</v>
      </c>
      <c r="B259" s="9" t="s">
        <v>301</v>
      </c>
      <c r="C259" s="8" t="s">
        <v>63</v>
      </c>
      <c r="D259" s="8" t="s">
        <v>97</v>
      </c>
      <c r="E259" s="10">
        <v>0.0</v>
      </c>
    </row>
    <row r="260">
      <c r="A260" s="8">
        <v>267.0</v>
      </c>
      <c r="B260" s="9" t="s">
        <v>302</v>
      </c>
      <c r="C260" s="8" t="s">
        <v>30</v>
      </c>
      <c r="D260" s="8" t="s">
        <v>97</v>
      </c>
      <c r="E260" s="10">
        <v>0.0</v>
      </c>
    </row>
    <row r="261">
      <c r="A261" s="8">
        <v>268.0</v>
      </c>
      <c r="B261" s="9" t="s">
        <v>303</v>
      </c>
      <c r="C261" s="8" t="s">
        <v>88</v>
      </c>
      <c r="D261" s="8" t="s">
        <v>97</v>
      </c>
      <c r="E261" s="10">
        <v>0.0</v>
      </c>
    </row>
    <row r="262">
      <c r="A262" s="8">
        <v>269.0</v>
      </c>
      <c r="B262" s="9" t="s">
        <v>304</v>
      </c>
      <c r="C262" s="8" t="s">
        <v>11</v>
      </c>
      <c r="D262" s="8" t="s">
        <v>97</v>
      </c>
      <c r="E262" s="10">
        <v>0.0</v>
      </c>
    </row>
    <row r="263">
      <c r="A263" s="8">
        <v>270.0</v>
      </c>
      <c r="B263" s="9" t="s">
        <v>305</v>
      </c>
      <c r="C263" s="8" t="s">
        <v>95</v>
      </c>
      <c r="D263" s="8" t="s">
        <v>97</v>
      </c>
      <c r="E263" s="10">
        <v>0.0</v>
      </c>
    </row>
    <row r="264">
      <c r="A264" s="8">
        <v>276.0</v>
      </c>
      <c r="B264" s="9" t="s">
        <v>306</v>
      </c>
      <c r="C264" s="8" t="s">
        <v>63</v>
      </c>
      <c r="D264" s="8" t="s">
        <v>7</v>
      </c>
      <c r="E264" s="10">
        <v>0.0</v>
      </c>
    </row>
    <row r="265">
      <c r="A265" s="8">
        <v>277.0</v>
      </c>
      <c r="B265" s="9" t="s">
        <v>307</v>
      </c>
      <c r="C265" s="8" t="s">
        <v>45</v>
      </c>
      <c r="D265" s="8" t="s">
        <v>7</v>
      </c>
      <c r="E265" s="10">
        <v>0.0</v>
      </c>
    </row>
    <row r="266">
      <c r="A266" s="8">
        <v>278.0</v>
      </c>
      <c r="B266" s="9" t="s">
        <v>308</v>
      </c>
      <c r="C266" s="8" t="s">
        <v>21</v>
      </c>
      <c r="D266" s="8" t="s">
        <v>7</v>
      </c>
      <c r="E266" s="10">
        <v>0.0</v>
      </c>
    </row>
    <row r="267">
      <c r="A267" s="8">
        <v>289.0</v>
      </c>
      <c r="B267" s="9" t="s">
        <v>309</v>
      </c>
      <c r="C267" s="8" t="s">
        <v>63</v>
      </c>
      <c r="D267" s="8" t="s">
        <v>43</v>
      </c>
      <c r="E267" s="10">
        <v>0.0</v>
      </c>
    </row>
    <row r="268">
      <c r="A268" s="8">
        <v>290.0</v>
      </c>
      <c r="B268" s="9" t="s">
        <v>310</v>
      </c>
      <c r="C268" s="8" t="s">
        <v>34</v>
      </c>
      <c r="D268" s="8" t="s">
        <v>43</v>
      </c>
      <c r="E268" s="10">
        <v>0.0</v>
      </c>
    </row>
    <row r="269">
      <c r="A269" s="8">
        <v>291.0</v>
      </c>
      <c r="B269" s="9" t="s">
        <v>311</v>
      </c>
      <c r="C269" s="8" t="s">
        <v>123</v>
      </c>
      <c r="D269" s="8" t="s">
        <v>43</v>
      </c>
      <c r="E269" s="10">
        <v>0.0</v>
      </c>
    </row>
    <row r="270">
      <c r="A270" s="8">
        <v>292.0</v>
      </c>
      <c r="B270" s="9" t="s">
        <v>312</v>
      </c>
      <c r="C270" s="8" t="s">
        <v>39</v>
      </c>
      <c r="D270" s="8" t="s">
        <v>43</v>
      </c>
      <c r="E270" s="10">
        <v>0.0</v>
      </c>
    </row>
    <row r="271">
      <c r="A271" s="8">
        <v>293.0</v>
      </c>
      <c r="B271" s="9" t="s">
        <v>313</v>
      </c>
      <c r="C271" s="8" t="s">
        <v>13</v>
      </c>
      <c r="D271" s="8" t="s">
        <v>43</v>
      </c>
      <c r="E271" s="10">
        <v>0.0</v>
      </c>
    </row>
    <row r="272">
      <c r="A272" s="8">
        <v>296.0</v>
      </c>
      <c r="B272" s="9" t="s">
        <v>314</v>
      </c>
      <c r="C272" s="8" t="s">
        <v>70</v>
      </c>
      <c r="D272" s="8" t="s">
        <v>97</v>
      </c>
      <c r="E272" s="10">
        <v>0.0</v>
      </c>
    </row>
    <row r="273">
      <c r="A273" s="8">
        <v>301.0</v>
      </c>
      <c r="B273" s="9" t="s">
        <v>315</v>
      </c>
      <c r="C273" s="8" t="s">
        <v>88</v>
      </c>
      <c r="D273" s="8" t="s">
        <v>97</v>
      </c>
      <c r="E273" s="10">
        <v>0.0</v>
      </c>
    </row>
    <row r="274">
      <c r="A274" s="8">
        <v>302.0</v>
      </c>
      <c r="B274" s="9" t="s">
        <v>316</v>
      </c>
      <c r="C274" s="8" t="s">
        <v>95</v>
      </c>
      <c r="D274" s="8" t="s">
        <v>97</v>
      </c>
      <c r="E274" s="10">
        <v>0.0</v>
      </c>
    </row>
    <row r="275">
      <c r="A275" s="8">
        <v>310.0</v>
      </c>
      <c r="B275" s="9" t="s">
        <v>317</v>
      </c>
      <c r="C275" s="8" t="s">
        <v>11</v>
      </c>
      <c r="D275" s="8" t="s">
        <v>97</v>
      </c>
      <c r="E275" s="10">
        <v>0.0</v>
      </c>
    </row>
    <row r="276">
      <c r="A276" s="8">
        <v>311.0</v>
      </c>
      <c r="B276" s="9" t="s">
        <v>318</v>
      </c>
      <c r="C276" s="8" t="s">
        <v>13</v>
      </c>
      <c r="D276" s="8" t="s">
        <v>43</v>
      </c>
      <c r="E276" s="10">
        <v>0.0</v>
      </c>
    </row>
    <row r="277">
      <c r="A277" s="8">
        <v>315.0</v>
      </c>
      <c r="B277" s="9" t="s">
        <v>319</v>
      </c>
      <c r="C277" s="8" t="s">
        <v>49</v>
      </c>
      <c r="D277" s="8" t="s">
        <v>97</v>
      </c>
      <c r="E277" s="10">
        <v>0.0</v>
      </c>
    </row>
    <row r="278">
      <c r="A278" s="8">
        <v>316.0</v>
      </c>
      <c r="B278" s="9" t="s">
        <v>320</v>
      </c>
      <c r="C278" s="8" t="s">
        <v>67</v>
      </c>
      <c r="D278" s="8" t="s">
        <v>97</v>
      </c>
      <c r="E278" s="10">
        <v>0.0</v>
      </c>
    </row>
    <row r="279">
      <c r="A279" s="8">
        <v>317.0</v>
      </c>
      <c r="B279" s="9" t="s">
        <v>321</v>
      </c>
      <c r="C279" s="8" t="s">
        <v>60</v>
      </c>
      <c r="D279" s="8" t="s">
        <v>97</v>
      </c>
      <c r="E279" s="10">
        <v>0.0</v>
      </c>
    </row>
    <row r="280">
      <c r="A280" s="8">
        <v>318.0</v>
      </c>
      <c r="B280" s="9" t="s">
        <v>322</v>
      </c>
      <c r="C280" s="8" t="s">
        <v>70</v>
      </c>
      <c r="D280" s="8" t="s">
        <v>97</v>
      </c>
      <c r="E280" s="10">
        <v>0.0</v>
      </c>
    </row>
    <row r="281">
      <c r="A281" s="8">
        <v>319.0</v>
      </c>
      <c r="B281" s="9" t="s">
        <v>323</v>
      </c>
      <c r="C281" s="8" t="s">
        <v>53</v>
      </c>
      <c r="D281" s="8" t="s">
        <v>97</v>
      </c>
      <c r="E281" s="10">
        <v>0.0</v>
      </c>
    </row>
  </sheetData>
  <autoFilter ref="$A$1:$E$28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6.5"/>
    <col customWidth="1" min="3" max="3" width="5.13"/>
    <col customWidth="1" min="4" max="4" width="7.0"/>
    <col customWidth="1" min="5" max="5" width="7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</row>
    <row r="2">
      <c r="A2" s="12">
        <v>1.0</v>
      </c>
      <c r="B2" s="13" t="s">
        <v>18</v>
      </c>
      <c r="C2" s="14" t="s">
        <v>19</v>
      </c>
      <c r="D2" s="15" t="s">
        <v>7</v>
      </c>
      <c r="E2" s="16">
        <v>27.0</v>
      </c>
    </row>
    <row r="3">
      <c r="A3" s="12">
        <v>2.0</v>
      </c>
      <c r="B3" s="13" t="s">
        <v>8</v>
      </c>
      <c r="C3" s="14" t="s">
        <v>9</v>
      </c>
      <c r="D3" s="15" t="s">
        <v>7</v>
      </c>
      <c r="E3" s="16">
        <v>19.0</v>
      </c>
    </row>
    <row r="4">
      <c r="A4" s="12">
        <v>3.0</v>
      </c>
      <c r="B4" s="13" t="s">
        <v>12</v>
      </c>
      <c r="C4" s="14" t="s">
        <v>13</v>
      </c>
      <c r="D4" s="15" t="s">
        <v>7</v>
      </c>
      <c r="E4" s="16">
        <v>19.0</v>
      </c>
    </row>
    <row r="5">
      <c r="A5" s="12">
        <v>4.0</v>
      </c>
      <c r="B5" s="13" t="s">
        <v>16</v>
      </c>
      <c r="C5" s="14" t="s">
        <v>6</v>
      </c>
      <c r="D5" s="15" t="s">
        <v>17</v>
      </c>
      <c r="E5" s="16">
        <v>17.0</v>
      </c>
    </row>
    <row r="6">
      <c r="A6" s="12">
        <v>5.0</v>
      </c>
      <c r="B6" s="13" t="s">
        <v>5</v>
      </c>
      <c r="C6" s="14" t="s">
        <v>6</v>
      </c>
      <c r="D6" s="15" t="s">
        <v>7</v>
      </c>
      <c r="E6" s="16">
        <v>17.0</v>
      </c>
    </row>
    <row r="7">
      <c r="A7" s="12">
        <v>6.0</v>
      </c>
      <c r="B7" s="13" t="s">
        <v>10</v>
      </c>
      <c r="C7" s="14" t="s">
        <v>11</v>
      </c>
      <c r="D7" s="15" t="s">
        <v>7</v>
      </c>
      <c r="E7" s="16">
        <v>17.0</v>
      </c>
    </row>
    <row r="8">
      <c r="A8" s="12">
        <v>7.0</v>
      </c>
      <c r="B8" s="13" t="s">
        <v>25</v>
      </c>
      <c r="C8" s="14" t="s">
        <v>26</v>
      </c>
      <c r="D8" s="15" t="s">
        <v>17</v>
      </c>
      <c r="E8" s="16">
        <v>16.0</v>
      </c>
    </row>
    <row r="9">
      <c r="A9" s="12">
        <v>8.0</v>
      </c>
      <c r="B9" s="13" t="s">
        <v>24</v>
      </c>
      <c r="C9" s="14" t="s">
        <v>19</v>
      </c>
      <c r="D9" s="15" t="s">
        <v>17</v>
      </c>
      <c r="E9" s="16">
        <v>16.0</v>
      </c>
    </row>
    <row r="10">
      <c r="A10" s="12">
        <v>9.0</v>
      </c>
      <c r="B10" s="13" t="s">
        <v>20</v>
      </c>
      <c r="C10" s="14" t="s">
        <v>21</v>
      </c>
      <c r="D10" s="15" t="s">
        <v>7</v>
      </c>
      <c r="E10" s="16">
        <v>16.0</v>
      </c>
    </row>
    <row r="11">
      <c r="A11" s="12">
        <v>10.0</v>
      </c>
      <c r="B11" s="13" t="s">
        <v>36</v>
      </c>
      <c r="C11" s="14" t="s">
        <v>21</v>
      </c>
      <c r="D11" s="15" t="s">
        <v>17</v>
      </c>
      <c r="E11" s="16">
        <v>15.0</v>
      </c>
    </row>
    <row r="12">
      <c r="A12" s="12">
        <v>11.0</v>
      </c>
      <c r="B12" s="13" t="s">
        <v>324</v>
      </c>
      <c r="C12" s="14" t="s">
        <v>123</v>
      </c>
      <c r="D12" s="15" t="s">
        <v>7</v>
      </c>
      <c r="E12" s="16">
        <v>14.0</v>
      </c>
    </row>
    <row r="13">
      <c r="A13" s="12">
        <v>12.0</v>
      </c>
      <c r="B13" s="13" t="s">
        <v>22</v>
      </c>
      <c r="C13" s="14" t="s">
        <v>23</v>
      </c>
      <c r="D13" s="15" t="s">
        <v>17</v>
      </c>
      <c r="E13" s="16">
        <v>14.0</v>
      </c>
    </row>
    <row r="14">
      <c r="A14" s="12">
        <v>13.0</v>
      </c>
      <c r="B14" s="13" t="s">
        <v>27</v>
      </c>
      <c r="C14" s="14" t="s">
        <v>28</v>
      </c>
      <c r="D14" s="15" t="s">
        <v>7</v>
      </c>
      <c r="E14" s="16">
        <v>14.0</v>
      </c>
    </row>
    <row r="15">
      <c r="A15" s="12">
        <v>14.0</v>
      </c>
      <c r="B15" s="13" t="s">
        <v>29</v>
      </c>
      <c r="C15" s="17" t="s">
        <v>30</v>
      </c>
      <c r="D15" s="15" t="s">
        <v>7</v>
      </c>
      <c r="E15" s="16">
        <v>14.0</v>
      </c>
    </row>
    <row r="16">
      <c r="A16" s="12">
        <v>15.0</v>
      </c>
      <c r="B16" s="13" t="s">
        <v>31</v>
      </c>
      <c r="C16" s="14" t="s">
        <v>32</v>
      </c>
      <c r="D16" s="15" t="s">
        <v>7</v>
      </c>
      <c r="E16" s="16">
        <v>14.0</v>
      </c>
    </row>
    <row r="17">
      <c r="A17" s="12">
        <v>16.0</v>
      </c>
      <c r="B17" s="13" t="s">
        <v>96</v>
      </c>
      <c r="C17" s="14" t="s">
        <v>47</v>
      </c>
      <c r="D17" s="15" t="s">
        <v>97</v>
      </c>
      <c r="E17" s="16">
        <v>13.0</v>
      </c>
    </row>
    <row r="18">
      <c r="A18" s="12">
        <v>17.0</v>
      </c>
      <c r="B18" s="13" t="s">
        <v>35</v>
      </c>
      <c r="C18" s="14" t="s">
        <v>34</v>
      </c>
      <c r="D18" s="15" t="s">
        <v>17</v>
      </c>
      <c r="E18" s="16">
        <v>13.0</v>
      </c>
    </row>
    <row r="19">
      <c r="A19" s="12">
        <v>18.0</v>
      </c>
      <c r="B19" s="13" t="s">
        <v>33</v>
      </c>
      <c r="C19" s="14" t="s">
        <v>34</v>
      </c>
      <c r="D19" s="15" t="s">
        <v>7</v>
      </c>
      <c r="E19" s="16">
        <v>13.0</v>
      </c>
    </row>
    <row r="20">
      <c r="A20" s="12">
        <v>19.0</v>
      </c>
      <c r="B20" s="13" t="s">
        <v>48</v>
      </c>
      <c r="C20" s="14" t="s">
        <v>49</v>
      </c>
      <c r="D20" s="15" t="s">
        <v>17</v>
      </c>
      <c r="E20" s="16">
        <v>13.0</v>
      </c>
    </row>
    <row r="21">
      <c r="A21" s="12">
        <v>20.0</v>
      </c>
      <c r="B21" s="13" t="s">
        <v>109</v>
      </c>
      <c r="C21" s="14" t="s">
        <v>26</v>
      </c>
      <c r="D21" s="15" t="s">
        <v>97</v>
      </c>
      <c r="E21" s="16">
        <v>12.0</v>
      </c>
    </row>
    <row r="22">
      <c r="A22" s="12">
        <v>21.0</v>
      </c>
      <c r="B22" s="13" t="s">
        <v>107</v>
      </c>
      <c r="C22" s="14" t="s">
        <v>60</v>
      </c>
      <c r="D22" s="15" t="s">
        <v>97</v>
      </c>
      <c r="E22" s="16">
        <v>12.0</v>
      </c>
    </row>
    <row r="23">
      <c r="A23" s="12">
        <v>22.0</v>
      </c>
      <c r="B23" s="13" t="s">
        <v>46</v>
      </c>
      <c r="C23" s="14" t="s">
        <v>47</v>
      </c>
      <c r="D23" s="15" t="s">
        <v>17</v>
      </c>
      <c r="E23" s="16">
        <v>12.0</v>
      </c>
    </row>
    <row r="24">
      <c r="A24" s="12">
        <v>23.0</v>
      </c>
      <c r="B24" s="13" t="s">
        <v>38</v>
      </c>
      <c r="C24" s="14" t="s">
        <v>39</v>
      </c>
      <c r="D24" s="15" t="s">
        <v>17</v>
      </c>
      <c r="E24" s="16">
        <v>12.0</v>
      </c>
    </row>
    <row r="25">
      <c r="A25" s="12">
        <v>24.0</v>
      </c>
      <c r="B25" s="13" t="s">
        <v>40</v>
      </c>
      <c r="C25" s="14" t="s">
        <v>41</v>
      </c>
      <c r="D25" s="15" t="s">
        <v>7</v>
      </c>
      <c r="E25" s="16">
        <v>12.0</v>
      </c>
    </row>
    <row r="26">
      <c r="A26" s="12">
        <v>25.0</v>
      </c>
      <c r="B26" s="13" t="s">
        <v>108</v>
      </c>
      <c r="C26" s="14" t="s">
        <v>65</v>
      </c>
      <c r="D26" s="15" t="s">
        <v>97</v>
      </c>
      <c r="E26" s="16">
        <v>11.0</v>
      </c>
    </row>
    <row r="27">
      <c r="A27" s="12">
        <v>26.0</v>
      </c>
      <c r="B27" s="13" t="s">
        <v>85</v>
      </c>
      <c r="C27" s="14" t="s">
        <v>65</v>
      </c>
      <c r="D27" s="15" t="s">
        <v>7</v>
      </c>
      <c r="E27" s="16">
        <v>11.0</v>
      </c>
    </row>
    <row r="28">
      <c r="A28" s="12">
        <v>27.0</v>
      </c>
      <c r="B28" s="13" t="s">
        <v>73</v>
      </c>
      <c r="C28" s="14" t="s">
        <v>39</v>
      </c>
      <c r="D28" s="15" t="s">
        <v>7</v>
      </c>
      <c r="E28" s="16">
        <v>11.0</v>
      </c>
    </row>
    <row r="29">
      <c r="A29" s="12">
        <v>28.0</v>
      </c>
      <c r="B29" s="13" t="s">
        <v>37</v>
      </c>
      <c r="C29" s="14" t="s">
        <v>23</v>
      </c>
      <c r="D29" s="15" t="s">
        <v>7</v>
      </c>
      <c r="E29" s="16">
        <v>11.0</v>
      </c>
    </row>
    <row r="30">
      <c r="A30" s="12">
        <v>29.0</v>
      </c>
      <c r="B30" s="13" t="s">
        <v>58</v>
      </c>
      <c r="C30" s="14" t="s">
        <v>28</v>
      </c>
      <c r="D30" s="15" t="s">
        <v>43</v>
      </c>
      <c r="E30" s="16">
        <v>9.0</v>
      </c>
    </row>
    <row r="31">
      <c r="A31" s="12">
        <v>30.0</v>
      </c>
      <c r="B31" s="13" t="s">
        <v>42</v>
      </c>
      <c r="C31" s="14" t="s">
        <v>15</v>
      </c>
      <c r="D31" s="15" t="s">
        <v>43</v>
      </c>
      <c r="E31" s="16">
        <v>9.0</v>
      </c>
    </row>
    <row r="32">
      <c r="A32" s="12">
        <v>31.0</v>
      </c>
      <c r="B32" s="13" t="s">
        <v>55</v>
      </c>
      <c r="C32" s="14" t="s">
        <v>32</v>
      </c>
      <c r="D32" s="15" t="s">
        <v>17</v>
      </c>
      <c r="E32" s="16">
        <v>9.0</v>
      </c>
    </row>
    <row r="33">
      <c r="A33" s="12">
        <v>32.0</v>
      </c>
      <c r="B33" s="13" t="s">
        <v>56</v>
      </c>
      <c r="C33" s="14" t="s">
        <v>28</v>
      </c>
      <c r="D33" s="15" t="s">
        <v>17</v>
      </c>
      <c r="E33" s="16">
        <v>9.0</v>
      </c>
    </row>
    <row r="34">
      <c r="A34" s="12">
        <v>33.0</v>
      </c>
      <c r="B34" s="13" t="s">
        <v>71</v>
      </c>
      <c r="C34" s="14" t="s">
        <v>72</v>
      </c>
      <c r="D34" s="15" t="s">
        <v>7</v>
      </c>
      <c r="E34" s="16">
        <v>9.0</v>
      </c>
    </row>
    <row r="35">
      <c r="A35" s="12">
        <v>34.0</v>
      </c>
      <c r="B35" s="13" t="s">
        <v>69</v>
      </c>
      <c r="C35" s="14" t="s">
        <v>70</v>
      </c>
      <c r="D35" s="15" t="s">
        <v>7</v>
      </c>
      <c r="E35" s="16">
        <v>9.0</v>
      </c>
    </row>
    <row r="36">
      <c r="A36" s="12">
        <v>35.0</v>
      </c>
      <c r="B36" s="13" t="s">
        <v>74</v>
      </c>
      <c r="C36" s="14" t="s">
        <v>75</v>
      </c>
      <c r="D36" s="15" t="s">
        <v>17</v>
      </c>
      <c r="E36" s="16">
        <v>9.0</v>
      </c>
    </row>
    <row r="37">
      <c r="A37" s="12">
        <v>36.0</v>
      </c>
      <c r="B37" s="13" t="s">
        <v>50</v>
      </c>
      <c r="C37" s="14" t="s">
        <v>51</v>
      </c>
      <c r="D37" s="15" t="s">
        <v>7</v>
      </c>
      <c r="E37" s="16">
        <v>9.0</v>
      </c>
    </row>
    <row r="38">
      <c r="A38" s="12">
        <v>37.0</v>
      </c>
      <c r="B38" s="13" t="s">
        <v>100</v>
      </c>
      <c r="C38" s="14" t="s">
        <v>15</v>
      </c>
      <c r="D38" s="15" t="s">
        <v>7</v>
      </c>
      <c r="E38" s="16">
        <v>9.0</v>
      </c>
    </row>
    <row r="39">
      <c r="A39" s="12">
        <v>38.0</v>
      </c>
      <c r="B39" s="13" t="s">
        <v>317</v>
      </c>
      <c r="C39" s="14" t="s">
        <v>11</v>
      </c>
      <c r="D39" s="15" t="s">
        <v>97</v>
      </c>
      <c r="E39" s="16">
        <v>9.0</v>
      </c>
    </row>
    <row r="40">
      <c r="A40" s="12">
        <v>39.0</v>
      </c>
      <c r="B40" s="13" t="s">
        <v>325</v>
      </c>
      <c r="C40" s="14" t="s">
        <v>49</v>
      </c>
      <c r="D40" s="15" t="s">
        <v>7</v>
      </c>
      <c r="E40" s="16">
        <v>9.0</v>
      </c>
    </row>
    <row r="41">
      <c r="A41" s="12">
        <v>40.0</v>
      </c>
      <c r="B41" s="13" t="s">
        <v>320</v>
      </c>
      <c r="C41" s="14" t="s">
        <v>67</v>
      </c>
      <c r="D41" s="15" t="s">
        <v>97</v>
      </c>
      <c r="E41" s="16">
        <v>9.0</v>
      </c>
    </row>
    <row r="42">
      <c r="A42" s="12">
        <v>41.0</v>
      </c>
      <c r="B42" s="13" t="s">
        <v>138</v>
      </c>
      <c r="C42" s="14" t="s">
        <v>67</v>
      </c>
      <c r="D42" s="15" t="s">
        <v>7</v>
      </c>
      <c r="E42" s="16">
        <v>9.0</v>
      </c>
    </row>
    <row r="43">
      <c r="A43" s="12">
        <v>42.0</v>
      </c>
      <c r="B43" s="13" t="s">
        <v>59</v>
      </c>
      <c r="C43" s="14" t="s">
        <v>60</v>
      </c>
      <c r="D43" s="15" t="s">
        <v>43</v>
      </c>
      <c r="E43" s="16">
        <v>8.0</v>
      </c>
    </row>
    <row r="44">
      <c r="A44" s="12">
        <v>43.0</v>
      </c>
      <c r="B44" s="13" t="s">
        <v>106</v>
      </c>
      <c r="C44" s="14" t="s">
        <v>41</v>
      </c>
      <c r="D44" s="15" t="s">
        <v>97</v>
      </c>
      <c r="E44" s="16">
        <v>8.0</v>
      </c>
    </row>
    <row r="45">
      <c r="A45" s="12">
        <v>44.0</v>
      </c>
      <c r="B45" s="13" t="s">
        <v>179</v>
      </c>
      <c r="C45" s="14" t="s">
        <v>72</v>
      </c>
      <c r="D45" s="15" t="s">
        <v>97</v>
      </c>
      <c r="E45" s="16">
        <v>8.0</v>
      </c>
    </row>
    <row r="46">
      <c r="A46" s="12">
        <v>45.0</v>
      </c>
      <c r="B46" s="13" t="s">
        <v>52</v>
      </c>
      <c r="C46" s="14" t="s">
        <v>53</v>
      </c>
      <c r="D46" s="15" t="s">
        <v>17</v>
      </c>
      <c r="E46" s="16">
        <v>8.0</v>
      </c>
    </row>
    <row r="47">
      <c r="A47" s="12">
        <v>46.0</v>
      </c>
      <c r="B47" s="13" t="s">
        <v>54</v>
      </c>
      <c r="C47" s="14" t="s">
        <v>32</v>
      </c>
      <c r="D47" s="15" t="s">
        <v>17</v>
      </c>
      <c r="E47" s="16">
        <v>8.0</v>
      </c>
    </row>
    <row r="48">
      <c r="A48" s="12">
        <v>47.0</v>
      </c>
      <c r="B48" s="13" t="s">
        <v>90</v>
      </c>
      <c r="C48" s="14" t="s">
        <v>6</v>
      </c>
      <c r="D48" s="15" t="s">
        <v>17</v>
      </c>
      <c r="E48" s="16">
        <v>8.0</v>
      </c>
    </row>
    <row r="49">
      <c r="A49" s="12">
        <v>48.0</v>
      </c>
      <c r="B49" s="13" t="s">
        <v>81</v>
      </c>
      <c r="C49" s="14" t="s">
        <v>63</v>
      </c>
      <c r="D49" s="15" t="s">
        <v>7</v>
      </c>
      <c r="E49" s="16">
        <v>8.0</v>
      </c>
    </row>
    <row r="50">
      <c r="A50" s="12">
        <v>49.0</v>
      </c>
      <c r="B50" s="13" t="s">
        <v>61</v>
      </c>
      <c r="C50" s="14" t="s">
        <v>51</v>
      </c>
      <c r="D50" s="15" t="s">
        <v>17</v>
      </c>
      <c r="E50" s="16">
        <v>8.0</v>
      </c>
    </row>
    <row r="51">
      <c r="A51" s="18">
        <v>50.0</v>
      </c>
      <c r="B51" s="13" t="s">
        <v>127</v>
      </c>
      <c r="C51" s="14" t="s">
        <v>77</v>
      </c>
      <c r="D51" s="19" t="s">
        <v>7</v>
      </c>
      <c r="E51" s="20">
        <v>8.0</v>
      </c>
    </row>
    <row r="52">
      <c r="A52" s="21">
        <v>51.0</v>
      </c>
      <c r="B52" s="22" t="s">
        <v>315</v>
      </c>
      <c r="C52" s="23" t="s">
        <v>88</v>
      </c>
      <c r="D52" s="21" t="s">
        <v>97</v>
      </c>
      <c r="E52" s="24">
        <v>8.0</v>
      </c>
    </row>
    <row r="53">
      <c r="A53" s="21">
        <v>52.0</v>
      </c>
      <c r="B53" s="22" t="s">
        <v>164</v>
      </c>
      <c r="C53" s="23" t="s">
        <v>41</v>
      </c>
      <c r="D53" s="21" t="s">
        <v>17</v>
      </c>
      <c r="E53" s="24">
        <v>8.0</v>
      </c>
    </row>
    <row r="54">
      <c r="A54" s="21">
        <v>53.0</v>
      </c>
      <c r="B54" s="22" t="s">
        <v>98</v>
      </c>
      <c r="C54" s="23" t="s">
        <v>15</v>
      </c>
      <c r="D54" s="21" t="s">
        <v>97</v>
      </c>
      <c r="E54" s="24">
        <v>7.0</v>
      </c>
    </row>
    <row r="55">
      <c r="A55" s="21">
        <v>54.0</v>
      </c>
      <c r="B55" s="22" t="s">
        <v>158</v>
      </c>
      <c r="C55" s="23" t="s">
        <v>53</v>
      </c>
      <c r="D55" s="21" t="s">
        <v>97</v>
      </c>
      <c r="E55" s="24">
        <v>7.0</v>
      </c>
    </row>
    <row r="56">
      <c r="A56" s="21">
        <v>55.0</v>
      </c>
      <c r="B56" s="22" t="s">
        <v>160</v>
      </c>
      <c r="C56" s="23" t="s">
        <v>32</v>
      </c>
      <c r="D56" s="21" t="s">
        <v>97</v>
      </c>
      <c r="E56" s="24">
        <v>7.0</v>
      </c>
    </row>
    <row r="57">
      <c r="A57" s="21">
        <v>56.0</v>
      </c>
      <c r="B57" s="22" t="s">
        <v>206</v>
      </c>
      <c r="C57" s="23" t="s">
        <v>9</v>
      </c>
      <c r="D57" s="21" t="s">
        <v>97</v>
      </c>
      <c r="E57" s="24">
        <v>7.0</v>
      </c>
    </row>
    <row r="58">
      <c r="A58" s="21">
        <v>57.0</v>
      </c>
      <c r="B58" s="22" t="s">
        <v>82</v>
      </c>
      <c r="C58" s="23" t="s">
        <v>83</v>
      </c>
      <c r="D58" s="21" t="s">
        <v>7</v>
      </c>
      <c r="E58" s="24">
        <v>7.0</v>
      </c>
    </row>
    <row r="59">
      <c r="A59" s="21">
        <v>58.0</v>
      </c>
      <c r="B59" s="22" t="s">
        <v>176</v>
      </c>
      <c r="C59" s="23" t="s">
        <v>28</v>
      </c>
      <c r="D59" s="21" t="s">
        <v>97</v>
      </c>
      <c r="E59" s="24">
        <v>7.0</v>
      </c>
    </row>
    <row r="60">
      <c r="A60" s="21">
        <v>59.0</v>
      </c>
      <c r="B60" s="22" t="s">
        <v>64</v>
      </c>
      <c r="C60" s="23" t="s">
        <v>65</v>
      </c>
      <c r="D60" s="21" t="s">
        <v>17</v>
      </c>
      <c r="E60" s="24">
        <v>7.0</v>
      </c>
    </row>
    <row r="61">
      <c r="A61" s="21">
        <v>60.0</v>
      </c>
      <c r="B61" s="22" t="s">
        <v>78</v>
      </c>
      <c r="C61" s="23" t="s">
        <v>9</v>
      </c>
      <c r="D61" s="21" t="s">
        <v>17</v>
      </c>
      <c r="E61" s="24">
        <v>7.0</v>
      </c>
    </row>
    <row r="62">
      <c r="A62" s="21">
        <v>61.0</v>
      </c>
      <c r="B62" s="22" t="s">
        <v>91</v>
      </c>
      <c r="C62" s="23" t="s">
        <v>67</v>
      </c>
      <c r="D62" s="21" t="s">
        <v>17</v>
      </c>
      <c r="E62" s="24">
        <v>7.0</v>
      </c>
    </row>
    <row r="63">
      <c r="A63" s="21">
        <v>62.0</v>
      </c>
      <c r="B63" s="22" t="s">
        <v>316</v>
      </c>
      <c r="C63" s="23" t="s">
        <v>95</v>
      </c>
      <c r="D63" s="21" t="s">
        <v>97</v>
      </c>
      <c r="E63" s="24">
        <v>7.0</v>
      </c>
    </row>
    <row r="64">
      <c r="A64" s="21">
        <v>63.0</v>
      </c>
      <c r="B64" s="22" t="s">
        <v>170</v>
      </c>
      <c r="C64" s="23" t="s">
        <v>23</v>
      </c>
      <c r="D64" s="21" t="s">
        <v>17</v>
      </c>
      <c r="E64" s="24">
        <v>7.0</v>
      </c>
    </row>
    <row r="65">
      <c r="A65" s="21">
        <v>64.0</v>
      </c>
      <c r="B65" s="22" t="s">
        <v>119</v>
      </c>
      <c r="C65" s="23" t="s">
        <v>19</v>
      </c>
      <c r="D65" s="21" t="s">
        <v>43</v>
      </c>
      <c r="E65" s="24">
        <v>6.0</v>
      </c>
    </row>
    <row r="66">
      <c r="A66" s="21">
        <v>65.0</v>
      </c>
      <c r="B66" s="22" t="s">
        <v>169</v>
      </c>
      <c r="C66" s="23" t="s">
        <v>21</v>
      </c>
      <c r="D66" s="21" t="s">
        <v>97</v>
      </c>
      <c r="E66" s="24">
        <v>6.0</v>
      </c>
    </row>
    <row r="67">
      <c r="A67" s="21">
        <v>66.0</v>
      </c>
      <c r="B67" s="22" t="s">
        <v>168</v>
      </c>
      <c r="C67" s="23" t="s">
        <v>77</v>
      </c>
      <c r="D67" s="21" t="s">
        <v>97</v>
      </c>
      <c r="E67" s="24">
        <v>6.0</v>
      </c>
    </row>
    <row r="68">
      <c r="A68" s="21">
        <v>67.0</v>
      </c>
      <c r="B68" s="22" t="s">
        <v>62</v>
      </c>
      <c r="C68" s="23" t="s">
        <v>63</v>
      </c>
      <c r="D68" s="21" t="s">
        <v>17</v>
      </c>
      <c r="E68" s="24">
        <v>6.0</v>
      </c>
    </row>
    <row r="69">
      <c r="A69" s="21">
        <v>68.0</v>
      </c>
      <c r="B69" s="22" t="s">
        <v>182</v>
      </c>
      <c r="C69" s="23" t="s">
        <v>83</v>
      </c>
      <c r="D69" s="21" t="s">
        <v>97</v>
      </c>
      <c r="E69" s="24">
        <v>6.0</v>
      </c>
    </row>
    <row r="70">
      <c r="A70" s="21">
        <v>69.0</v>
      </c>
      <c r="B70" s="22" t="s">
        <v>205</v>
      </c>
      <c r="C70" s="23" t="s">
        <v>13</v>
      </c>
      <c r="D70" s="21" t="s">
        <v>97</v>
      </c>
      <c r="E70" s="24">
        <v>6.0</v>
      </c>
    </row>
    <row r="71">
      <c r="A71" s="21">
        <v>70.0</v>
      </c>
      <c r="B71" s="22" t="s">
        <v>80</v>
      </c>
      <c r="C71" s="23" t="s">
        <v>45</v>
      </c>
      <c r="D71" s="21" t="s">
        <v>7</v>
      </c>
      <c r="E71" s="24">
        <v>6.0</v>
      </c>
    </row>
    <row r="72">
      <c r="A72" s="21">
        <v>71.0</v>
      </c>
      <c r="B72" s="22" t="s">
        <v>105</v>
      </c>
      <c r="C72" s="23" t="s">
        <v>83</v>
      </c>
      <c r="D72" s="21" t="s">
        <v>17</v>
      </c>
      <c r="E72" s="24">
        <v>6.0</v>
      </c>
    </row>
    <row r="73">
      <c r="A73" s="21">
        <v>72.0</v>
      </c>
      <c r="B73" s="22" t="s">
        <v>84</v>
      </c>
      <c r="C73" s="23" t="s">
        <v>60</v>
      </c>
      <c r="D73" s="21" t="s">
        <v>7</v>
      </c>
      <c r="E73" s="24">
        <v>6.0</v>
      </c>
    </row>
    <row r="74">
      <c r="A74" s="21">
        <v>73.0</v>
      </c>
      <c r="B74" s="22" t="s">
        <v>128</v>
      </c>
      <c r="C74" s="23" t="s">
        <v>21</v>
      </c>
      <c r="D74" s="21" t="s">
        <v>7</v>
      </c>
      <c r="E74" s="24">
        <v>6.0</v>
      </c>
    </row>
    <row r="75">
      <c r="A75" s="21">
        <v>74.0</v>
      </c>
      <c r="B75" s="22" t="s">
        <v>57</v>
      </c>
      <c r="C75" s="23" t="s">
        <v>11</v>
      </c>
      <c r="D75" s="21" t="s">
        <v>17</v>
      </c>
      <c r="E75" s="24">
        <v>6.0</v>
      </c>
    </row>
    <row r="76">
      <c r="A76" s="21">
        <v>75.0</v>
      </c>
      <c r="B76" s="22" t="s">
        <v>66</v>
      </c>
      <c r="C76" s="23" t="s">
        <v>67</v>
      </c>
      <c r="D76" s="21" t="s">
        <v>17</v>
      </c>
      <c r="E76" s="24">
        <v>6.0</v>
      </c>
    </row>
    <row r="77">
      <c r="A77" s="21">
        <v>76.0</v>
      </c>
      <c r="B77" s="22" t="s">
        <v>68</v>
      </c>
      <c r="C77" s="23" t="s">
        <v>60</v>
      </c>
      <c r="D77" s="21" t="s">
        <v>17</v>
      </c>
      <c r="E77" s="24">
        <v>6.0</v>
      </c>
    </row>
    <row r="78">
      <c r="A78" s="21">
        <v>77.0</v>
      </c>
      <c r="B78" s="22" t="s">
        <v>201</v>
      </c>
      <c r="C78" s="23" t="s">
        <v>11</v>
      </c>
      <c r="D78" s="21" t="s">
        <v>17</v>
      </c>
      <c r="E78" s="24">
        <v>6.0</v>
      </c>
    </row>
    <row r="79">
      <c r="A79" s="21">
        <v>78.0</v>
      </c>
      <c r="B79" s="22" t="s">
        <v>216</v>
      </c>
      <c r="C79" s="23" t="s">
        <v>26</v>
      </c>
      <c r="D79" s="21" t="s">
        <v>199</v>
      </c>
      <c r="E79" s="24">
        <v>5.0</v>
      </c>
    </row>
    <row r="80">
      <c r="A80" s="21">
        <v>79.0</v>
      </c>
      <c r="B80" s="22" t="s">
        <v>213</v>
      </c>
      <c r="C80" s="23" t="s">
        <v>60</v>
      </c>
      <c r="D80" s="21" t="s">
        <v>199</v>
      </c>
      <c r="E80" s="24">
        <v>5.0</v>
      </c>
    </row>
    <row r="81">
      <c r="A81" s="21">
        <v>80.0</v>
      </c>
      <c r="B81" s="22" t="s">
        <v>125</v>
      </c>
      <c r="C81" s="23" t="s">
        <v>47</v>
      </c>
      <c r="D81" s="21" t="s">
        <v>43</v>
      </c>
      <c r="E81" s="24">
        <v>5.0</v>
      </c>
    </row>
    <row r="82">
      <c r="A82" s="21">
        <v>81.0</v>
      </c>
      <c r="B82" s="22" t="s">
        <v>180</v>
      </c>
      <c r="C82" s="23" t="s">
        <v>23</v>
      </c>
      <c r="D82" s="21" t="s">
        <v>97</v>
      </c>
      <c r="E82" s="24">
        <v>5.0</v>
      </c>
    </row>
    <row r="83">
      <c r="A83" s="21">
        <v>82.0</v>
      </c>
      <c r="B83" s="22" t="s">
        <v>87</v>
      </c>
      <c r="C83" s="23" t="s">
        <v>88</v>
      </c>
      <c r="D83" s="21" t="s">
        <v>7</v>
      </c>
      <c r="E83" s="24">
        <v>5.0</v>
      </c>
    </row>
    <row r="84">
      <c r="A84" s="21">
        <v>83.0</v>
      </c>
      <c r="B84" s="22" t="s">
        <v>288</v>
      </c>
      <c r="C84" s="23" t="s">
        <v>75</v>
      </c>
      <c r="D84" s="21" t="s">
        <v>97</v>
      </c>
      <c r="E84" s="24">
        <v>5.0</v>
      </c>
    </row>
    <row r="85">
      <c r="A85" s="21">
        <v>84.0</v>
      </c>
      <c r="B85" s="22" t="s">
        <v>211</v>
      </c>
      <c r="C85" s="23" t="s">
        <v>51</v>
      </c>
      <c r="D85" s="21" t="s">
        <v>97</v>
      </c>
      <c r="E85" s="24">
        <v>5.0</v>
      </c>
    </row>
    <row r="86">
      <c r="A86" s="21">
        <v>85.0</v>
      </c>
      <c r="B86" s="22" t="s">
        <v>99</v>
      </c>
      <c r="C86" s="23" t="s">
        <v>26</v>
      </c>
      <c r="D86" s="21" t="s">
        <v>7</v>
      </c>
      <c r="E86" s="24">
        <v>5.0</v>
      </c>
    </row>
    <row r="87">
      <c r="A87" s="21">
        <v>86.0</v>
      </c>
      <c r="B87" s="22" t="s">
        <v>79</v>
      </c>
      <c r="C87" s="23" t="s">
        <v>77</v>
      </c>
      <c r="D87" s="21" t="s">
        <v>17</v>
      </c>
      <c r="E87" s="24">
        <v>5.0</v>
      </c>
    </row>
    <row r="88">
      <c r="A88" s="21">
        <v>87.0</v>
      </c>
      <c r="B88" s="22" t="s">
        <v>287</v>
      </c>
      <c r="C88" s="23" t="s">
        <v>49</v>
      </c>
      <c r="D88" s="21" t="s">
        <v>97</v>
      </c>
      <c r="E88" s="24">
        <v>5.0</v>
      </c>
    </row>
    <row r="89">
      <c r="A89" s="21">
        <v>88.0</v>
      </c>
      <c r="B89" s="22" t="s">
        <v>104</v>
      </c>
      <c r="C89" s="23" t="s">
        <v>28</v>
      </c>
      <c r="D89" s="21" t="s">
        <v>17</v>
      </c>
      <c r="E89" s="24">
        <v>5.0</v>
      </c>
    </row>
    <row r="90">
      <c r="A90" s="21">
        <v>89.0</v>
      </c>
      <c r="B90" s="22" t="s">
        <v>183</v>
      </c>
      <c r="C90" s="23" t="s">
        <v>51</v>
      </c>
      <c r="D90" s="21" t="s">
        <v>17</v>
      </c>
      <c r="E90" s="24">
        <v>5.0</v>
      </c>
    </row>
    <row r="91">
      <c r="A91" s="21">
        <v>90.0</v>
      </c>
      <c r="B91" s="22" t="s">
        <v>167</v>
      </c>
      <c r="C91" s="23" t="s">
        <v>13</v>
      </c>
      <c r="D91" s="21" t="s">
        <v>17</v>
      </c>
      <c r="E91" s="24">
        <v>5.0</v>
      </c>
    </row>
    <row r="92">
      <c r="A92" s="21">
        <v>91.0</v>
      </c>
      <c r="B92" s="22" t="s">
        <v>186</v>
      </c>
      <c r="C92" s="23" t="s">
        <v>63</v>
      </c>
      <c r="D92" s="21" t="s">
        <v>17</v>
      </c>
      <c r="E92" s="24">
        <v>5.0</v>
      </c>
    </row>
    <row r="93">
      <c r="A93" s="21">
        <v>92.0</v>
      </c>
      <c r="B93" s="22" t="s">
        <v>326</v>
      </c>
      <c r="C93" s="23" t="s">
        <v>34</v>
      </c>
      <c r="D93" s="21" t="s">
        <v>43</v>
      </c>
      <c r="E93" s="24">
        <v>4.0</v>
      </c>
    </row>
    <row r="94">
      <c r="A94" s="21">
        <v>93.0</v>
      </c>
      <c r="B94" s="22" t="s">
        <v>198</v>
      </c>
      <c r="C94" s="23" t="s">
        <v>30</v>
      </c>
      <c r="D94" s="21" t="s">
        <v>199</v>
      </c>
      <c r="E94" s="24">
        <v>4.0</v>
      </c>
    </row>
    <row r="95">
      <c r="A95" s="21">
        <v>97.0</v>
      </c>
      <c r="B95" s="22" t="s">
        <v>117</v>
      </c>
      <c r="C95" s="23" t="s">
        <v>41</v>
      </c>
      <c r="D95" s="21" t="s">
        <v>43</v>
      </c>
      <c r="E95" s="24">
        <v>4.0</v>
      </c>
    </row>
    <row r="96">
      <c r="A96" s="21">
        <v>100.0</v>
      </c>
      <c r="B96" s="22" t="s">
        <v>140</v>
      </c>
      <c r="C96" s="23" t="s">
        <v>32</v>
      </c>
      <c r="D96" s="21" t="s">
        <v>43</v>
      </c>
      <c r="E96" s="24">
        <v>4.0</v>
      </c>
    </row>
    <row r="97">
      <c r="A97" s="21">
        <v>101.0</v>
      </c>
      <c r="B97" s="22" t="s">
        <v>112</v>
      </c>
      <c r="C97" s="23" t="s">
        <v>9</v>
      </c>
      <c r="D97" s="21" t="s">
        <v>17</v>
      </c>
      <c r="E97" s="24">
        <v>4.0</v>
      </c>
    </row>
    <row r="98">
      <c r="A98" s="21">
        <v>102.0</v>
      </c>
      <c r="B98" s="22" t="s">
        <v>159</v>
      </c>
      <c r="C98" s="23" t="s">
        <v>6</v>
      </c>
      <c r="D98" s="21" t="s">
        <v>97</v>
      </c>
      <c r="E98" s="24">
        <v>4.0</v>
      </c>
    </row>
    <row r="99">
      <c r="A99" s="21">
        <v>103.0</v>
      </c>
      <c r="B99" s="22" t="s">
        <v>177</v>
      </c>
      <c r="C99" s="23" t="s">
        <v>34</v>
      </c>
      <c r="D99" s="21" t="s">
        <v>97</v>
      </c>
      <c r="E99" s="24">
        <v>4.0</v>
      </c>
    </row>
    <row r="100">
      <c r="A100" s="21">
        <v>105.0</v>
      </c>
      <c r="B100" s="22" t="s">
        <v>291</v>
      </c>
      <c r="C100" s="23" t="s">
        <v>45</v>
      </c>
      <c r="D100" s="21" t="s">
        <v>43</v>
      </c>
      <c r="E100" s="24">
        <v>4.0</v>
      </c>
    </row>
    <row r="101">
      <c r="A101" s="21">
        <v>106.0</v>
      </c>
      <c r="B101" s="22" t="s">
        <v>181</v>
      </c>
      <c r="C101" s="23" t="s">
        <v>123</v>
      </c>
      <c r="D101" s="21" t="s">
        <v>97</v>
      </c>
      <c r="E101" s="24">
        <v>4.0</v>
      </c>
    </row>
    <row r="102">
      <c r="A102" s="21">
        <v>107.0</v>
      </c>
      <c r="B102" s="22" t="s">
        <v>152</v>
      </c>
      <c r="C102" s="23" t="s">
        <v>51</v>
      </c>
      <c r="D102" s="21" t="s">
        <v>43</v>
      </c>
      <c r="E102" s="24">
        <v>4.0</v>
      </c>
    </row>
    <row r="103">
      <c r="A103" s="21">
        <v>109.0</v>
      </c>
      <c r="B103" s="22" t="s">
        <v>139</v>
      </c>
      <c r="C103" s="23" t="s">
        <v>51</v>
      </c>
      <c r="D103" s="21" t="s">
        <v>7</v>
      </c>
      <c r="E103" s="24">
        <v>4.0</v>
      </c>
    </row>
    <row r="104">
      <c r="A104" s="21">
        <v>110.0</v>
      </c>
      <c r="B104" s="22" t="s">
        <v>101</v>
      </c>
      <c r="C104" s="23" t="s">
        <v>23</v>
      </c>
      <c r="D104" s="21" t="s">
        <v>7</v>
      </c>
      <c r="E104" s="24">
        <v>4.0</v>
      </c>
    </row>
    <row r="105">
      <c r="A105" s="21">
        <v>111.0</v>
      </c>
      <c r="B105" s="22" t="s">
        <v>76</v>
      </c>
      <c r="C105" s="23" t="s">
        <v>77</v>
      </c>
      <c r="D105" s="21" t="s">
        <v>17</v>
      </c>
      <c r="E105" s="24">
        <v>4.0</v>
      </c>
    </row>
    <row r="106">
      <c r="A106" s="21">
        <v>112.0</v>
      </c>
      <c r="B106" s="22" t="s">
        <v>120</v>
      </c>
      <c r="C106" s="23" t="s">
        <v>83</v>
      </c>
      <c r="D106" s="21" t="s">
        <v>7</v>
      </c>
      <c r="E106" s="24">
        <v>4.0</v>
      </c>
    </row>
    <row r="107">
      <c r="A107" s="21">
        <v>113.0</v>
      </c>
      <c r="B107" s="22" t="s">
        <v>322</v>
      </c>
      <c r="C107" s="23" t="s">
        <v>70</v>
      </c>
      <c r="D107" s="21" t="s">
        <v>97</v>
      </c>
      <c r="E107" s="24">
        <v>4.0</v>
      </c>
    </row>
    <row r="108">
      <c r="A108" s="21">
        <v>114.0</v>
      </c>
      <c r="B108" s="22" t="s">
        <v>184</v>
      </c>
      <c r="C108" s="23" t="s">
        <v>6</v>
      </c>
      <c r="D108" s="21" t="s">
        <v>17</v>
      </c>
      <c r="E108" s="24">
        <v>4.0</v>
      </c>
    </row>
    <row r="109">
      <c r="A109" s="21">
        <v>116.0</v>
      </c>
      <c r="B109" s="22" t="s">
        <v>327</v>
      </c>
      <c r="C109" s="23" t="s">
        <v>47</v>
      </c>
      <c r="D109" s="21" t="s">
        <v>199</v>
      </c>
      <c r="E109" s="24">
        <v>3.0</v>
      </c>
    </row>
    <row r="110">
      <c r="A110" s="21">
        <v>117.0</v>
      </c>
      <c r="B110" s="22" t="s">
        <v>328</v>
      </c>
      <c r="C110" s="23" t="s">
        <v>72</v>
      </c>
      <c r="D110" s="21" t="s">
        <v>199</v>
      </c>
      <c r="E110" s="24">
        <v>3.0</v>
      </c>
    </row>
    <row r="111">
      <c r="A111" s="21">
        <v>118.0</v>
      </c>
      <c r="B111" s="22" t="s">
        <v>222</v>
      </c>
      <c r="C111" s="23" t="s">
        <v>15</v>
      </c>
      <c r="D111" s="21" t="s">
        <v>199</v>
      </c>
      <c r="E111" s="24">
        <v>3.0</v>
      </c>
    </row>
    <row r="112">
      <c r="A112" s="21">
        <v>121.0</v>
      </c>
      <c r="B112" s="22" t="s">
        <v>214</v>
      </c>
      <c r="C112" s="23" t="s">
        <v>9</v>
      </c>
      <c r="D112" s="21" t="s">
        <v>199</v>
      </c>
      <c r="E112" s="24">
        <v>3.0</v>
      </c>
    </row>
    <row r="113">
      <c r="A113" s="21">
        <v>127.0</v>
      </c>
      <c r="B113" s="22" t="s">
        <v>118</v>
      </c>
      <c r="C113" s="23" t="s">
        <v>83</v>
      </c>
      <c r="D113" s="21" t="s">
        <v>43</v>
      </c>
      <c r="E113" s="24">
        <v>3.0</v>
      </c>
    </row>
    <row r="114">
      <c r="A114" s="21">
        <v>130.0</v>
      </c>
      <c r="B114" s="22" t="s">
        <v>151</v>
      </c>
      <c r="C114" s="23" t="s">
        <v>67</v>
      </c>
      <c r="D114" s="21" t="s">
        <v>43</v>
      </c>
      <c r="E114" s="24">
        <v>3.0</v>
      </c>
    </row>
    <row r="115">
      <c r="A115" s="21">
        <v>134.0</v>
      </c>
      <c r="B115" s="22" t="s">
        <v>131</v>
      </c>
      <c r="C115" s="23" t="s">
        <v>123</v>
      </c>
      <c r="D115" s="21" t="s">
        <v>43</v>
      </c>
      <c r="E115" s="24">
        <v>3.0</v>
      </c>
    </row>
    <row r="116">
      <c r="A116" s="21">
        <v>135.0</v>
      </c>
      <c r="B116" s="22" t="s">
        <v>200</v>
      </c>
      <c r="C116" s="23" t="s">
        <v>72</v>
      </c>
      <c r="D116" s="21" t="s">
        <v>43</v>
      </c>
      <c r="E116" s="24">
        <v>3.0</v>
      </c>
    </row>
    <row r="117">
      <c r="A117" s="21">
        <v>136.0</v>
      </c>
      <c r="B117" s="22" t="s">
        <v>254</v>
      </c>
      <c r="C117" s="23" t="s">
        <v>49</v>
      </c>
      <c r="D117" s="21" t="s">
        <v>43</v>
      </c>
      <c r="E117" s="24">
        <v>3.0</v>
      </c>
    </row>
    <row r="118">
      <c r="A118" s="21">
        <v>137.0</v>
      </c>
      <c r="B118" s="22" t="s">
        <v>302</v>
      </c>
      <c r="C118" s="23" t="s">
        <v>30</v>
      </c>
      <c r="D118" s="21" t="s">
        <v>97</v>
      </c>
      <c r="E118" s="24">
        <v>3.0</v>
      </c>
    </row>
    <row r="119">
      <c r="A119" s="21">
        <v>138.0</v>
      </c>
      <c r="B119" s="22" t="s">
        <v>103</v>
      </c>
      <c r="C119" s="23" t="s">
        <v>15</v>
      </c>
      <c r="D119" s="21" t="s">
        <v>17</v>
      </c>
      <c r="E119" s="24">
        <v>3.0</v>
      </c>
    </row>
    <row r="120">
      <c r="A120" s="21">
        <v>139.0</v>
      </c>
      <c r="B120" s="22" t="s">
        <v>136</v>
      </c>
      <c r="C120" s="23" t="s">
        <v>67</v>
      </c>
      <c r="D120" s="21" t="s">
        <v>7</v>
      </c>
      <c r="E120" s="24">
        <v>3.0</v>
      </c>
    </row>
    <row r="121">
      <c r="A121" s="21">
        <v>140.0</v>
      </c>
      <c r="B121" s="22" t="s">
        <v>137</v>
      </c>
      <c r="C121" s="23" t="s">
        <v>123</v>
      </c>
      <c r="D121" s="21" t="s">
        <v>7</v>
      </c>
      <c r="E121" s="24">
        <v>3.0</v>
      </c>
    </row>
    <row r="122">
      <c r="A122" s="21">
        <v>141.0</v>
      </c>
      <c r="B122" s="22" t="s">
        <v>143</v>
      </c>
      <c r="C122" s="23" t="s">
        <v>123</v>
      </c>
      <c r="D122" s="21" t="s">
        <v>17</v>
      </c>
      <c r="E122" s="24">
        <v>3.0</v>
      </c>
    </row>
    <row r="123">
      <c r="A123" s="21">
        <v>142.0</v>
      </c>
      <c r="B123" s="22" t="s">
        <v>301</v>
      </c>
      <c r="C123" s="23" t="s">
        <v>63</v>
      </c>
      <c r="D123" s="21" t="s">
        <v>97</v>
      </c>
      <c r="E123" s="24">
        <v>3.0</v>
      </c>
    </row>
    <row r="124">
      <c r="A124" s="21">
        <v>143.0</v>
      </c>
      <c r="B124" s="22" t="s">
        <v>114</v>
      </c>
      <c r="C124" s="23" t="s">
        <v>72</v>
      </c>
      <c r="D124" s="21" t="s">
        <v>17</v>
      </c>
      <c r="E124" s="24">
        <v>3.0</v>
      </c>
    </row>
    <row r="125">
      <c r="A125" s="21">
        <v>144.0</v>
      </c>
      <c r="B125" s="22" t="s">
        <v>89</v>
      </c>
      <c r="C125" s="23" t="s">
        <v>75</v>
      </c>
      <c r="D125" s="21" t="s">
        <v>7</v>
      </c>
      <c r="E125" s="24">
        <v>3.0</v>
      </c>
    </row>
    <row r="126">
      <c r="A126" s="21">
        <v>145.0</v>
      </c>
      <c r="B126" s="22" t="s">
        <v>115</v>
      </c>
      <c r="C126" s="23" t="s">
        <v>47</v>
      </c>
      <c r="D126" s="21" t="s">
        <v>17</v>
      </c>
      <c r="E126" s="24">
        <v>3.0</v>
      </c>
    </row>
    <row r="127">
      <c r="A127" s="21">
        <v>146.0</v>
      </c>
      <c r="B127" s="22" t="s">
        <v>135</v>
      </c>
      <c r="C127" s="23" t="s">
        <v>53</v>
      </c>
      <c r="D127" s="21" t="s">
        <v>7</v>
      </c>
      <c r="E127" s="24">
        <v>3.0</v>
      </c>
    </row>
    <row r="128">
      <c r="A128" s="21">
        <v>147.0</v>
      </c>
      <c r="B128" s="22" t="s">
        <v>129</v>
      </c>
      <c r="C128" s="23" t="s">
        <v>45</v>
      </c>
      <c r="D128" s="21" t="s">
        <v>17</v>
      </c>
      <c r="E128" s="24">
        <v>3.0</v>
      </c>
    </row>
    <row r="129">
      <c r="A129" s="21">
        <v>148.0</v>
      </c>
      <c r="B129" s="22" t="s">
        <v>124</v>
      </c>
      <c r="C129" s="23" t="s">
        <v>67</v>
      </c>
      <c r="D129" s="21" t="s">
        <v>7</v>
      </c>
      <c r="E129" s="24">
        <v>3.0</v>
      </c>
    </row>
    <row r="130">
      <c r="A130" s="21">
        <v>149.0</v>
      </c>
      <c r="B130" s="22" t="s">
        <v>111</v>
      </c>
      <c r="C130" s="23" t="s">
        <v>72</v>
      </c>
      <c r="D130" s="21" t="s">
        <v>17</v>
      </c>
      <c r="E130" s="24">
        <v>3.0</v>
      </c>
    </row>
    <row r="131">
      <c r="A131" s="21">
        <v>150.0</v>
      </c>
      <c r="B131" s="22" t="s">
        <v>204</v>
      </c>
      <c r="C131" s="23" t="s">
        <v>47</v>
      </c>
      <c r="D131" s="21" t="s">
        <v>7</v>
      </c>
      <c r="E131" s="24">
        <v>3.0</v>
      </c>
    </row>
    <row r="132">
      <c r="A132" s="21">
        <v>151.0</v>
      </c>
      <c r="B132" s="22" t="s">
        <v>94</v>
      </c>
      <c r="C132" s="23" t="s">
        <v>95</v>
      </c>
      <c r="D132" s="21" t="s">
        <v>7</v>
      </c>
      <c r="E132" s="24">
        <v>3.0</v>
      </c>
    </row>
    <row r="133">
      <c r="A133" s="21">
        <v>152.0</v>
      </c>
      <c r="B133" s="22" t="s">
        <v>130</v>
      </c>
      <c r="C133" s="23" t="s">
        <v>95</v>
      </c>
      <c r="D133" s="21" t="s">
        <v>17</v>
      </c>
      <c r="E133" s="24">
        <v>3.0</v>
      </c>
    </row>
    <row r="134">
      <c r="A134" s="21">
        <v>153.0</v>
      </c>
      <c r="B134" s="22" t="s">
        <v>149</v>
      </c>
      <c r="C134" s="23" t="s">
        <v>41</v>
      </c>
      <c r="D134" s="21" t="s">
        <v>7</v>
      </c>
      <c r="E134" s="24">
        <v>3.0</v>
      </c>
    </row>
    <row r="135">
      <c r="A135" s="21">
        <v>154.0</v>
      </c>
      <c r="B135" s="22" t="s">
        <v>145</v>
      </c>
      <c r="C135" s="23" t="s">
        <v>60</v>
      </c>
      <c r="D135" s="21" t="s">
        <v>17</v>
      </c>
      <c r="E135" s="24">
        <v>3.0</v>
      </c>
    </row>
    <row r="136">
      <c r="A136" s="21">
        <v>155.0</v>
      </c>
      <c r="B136" s="22" t="s">
        <v>113</v>
      </c>
      <c r="C136" s="23" t="s">
        <v>88</v>
      </c>
      <c r="D136" s="21" t="s">
        <v>17</v>
      </c>
      <c r="E136" s="24">
        <v>3.0</v>
      </c>
    </row>
    <row r="137">
      <c r="A137" s="21">
        <v>156.0</v>
      </c>
      <c r="B137" s="22" t="s">
        <v>93</v>
      </c>
      <c r="C137" s="23" t="s">
        <v>41</v>
      </c>
      <c r="D137" s="21" t="s">
        <v>17</v>
      </c>
      <c r="E137" s="24">
        <v>3.0</v>
      </c>
    </row>
    <row r="138">
      <c r="A138" s="21">
        <v>157.0</v>
      </c>
      <c r="B138" s="22" t="s">
        <v>134</v>
      </c>
      <c r="C138" s="23" t="s">
        <v>75</v>
      </c>
      <c r="D138" s="21" t="s">
        <v>17</v>
      </c>
      <c r="E138" s="24">
        <v>3.0</v>
      </c>
    </row>
    <row r="139">
      <c r="A139" s="21">
        <v>158.0</v>
      </c>
      <c r="B139" s="22" t="s">
        <v>102</v>
      </c>
      <c r="C139" s="23" t="s">
        <v>63</v>
      </c>
      <c r="D139" s="21" t="s">
        <v>17</v>
      </c>
      <c r="E139" s="24">
        <v>3.0</v>
      </c>
    </row>
    <row r="140">
      <c r="A140" s="21">
        <v>159.0</v>
      </c>
      <c r="B140" s="22" t="s">
        <v>110</v>
      </c>
      <c r="C140" s="23" t="s">
        <v>26</v>
      </c>
      <c r="D140" s="21" t="s">
        <v>17</v>
      </c>
      <c r="E140" s="24">
        <v>3.0</v>
      </c>
    </row>
    <row r="141">
      <c r="A141" s="21">
        <v>160.0</v>
      </c>
      <c r="B141" s="22" t="s">
        <v>132</v>
      </c>
      <c r="C141" s="23" t="s">
        <v>15</v>
      </c>
      <c r="D141" s="21" t="s">
        <v>17</v>
      </c>
      <c r="E141" s="24">
        <v>3.0</v>
      </c>
    </row>
    <row r="142">
      <c r="A142" s="21">
        <v>161.0</v>
      </c>
      <c r="B142" s="22" t="s">
        <v>146</v>
      </c>
      <c r="C142" s="23" t="s">
        <v>13</v>
      </c>
      <c r="D142" s="21" t="s">
        <v>17</v>
      </c>
      <c r="E142" s="24">
        <v>3.0</v>
      </c>
    </row>
    <row r="143">
      <c r="A143" s="21">
        <v>162.0</v>
      </c>
      <c r="B143" s="22" t="s">
        <v>92</v>
      </c>
      <c r="C143" s="23" t="s">
        <v>9</v>
      </c>
      <c r="D143" s="21" t="s">
        <v>17</v>
      </c>
      <c r="E143" s="24">
        <v>3.0</v>
      </c>
    </row>
    <row r="144">
      <c r="A144" s="21">
        <v>163.0</v>
      </c>
      <c r="B144" s="22" t="s">
        <v>307</v>
      </c>
      <c r="C144" s="23" t="s">
        <v>45</v>
      </c>
      <c r="D144" s="21" t="s">
        <v>7</v>
      </c>
      <c r="E144" s="24">
        <v>3.0</v>
      </c>
    </row>
    <row r="145">
      <c r="A145" s="21">
        <v>164.0</v>
      </c>
      <c r="B145" s="22" t="s">
        <v>171</v>
      </c>
      <c r="C145" s="23" t="s">
        <v>172</v>
      </c>
      <c r="D145" s="21" t="s">
        <v>17</v>
      </c>
      <c r="E145" s="24">
        <v>3.0</v>
      </c>
    </row>
    <row r="146">
      <c r="A146" s="21">
        <v>165.0</v>
      </c>
      <c r="B146" s="22" t="s">
        <v>329</v>
      </c>
      <c r="C146" s="23" t="s">
        <v>72</v>
      </c>
      <c r="D146" s="21" t="s">
        <v>17</v>
      </c>
      <c r="E146" s="24">
        <v>3.0</v>
      </c>
    </row>
    <row r="147">
      <c r="A147" s="21">
        <v>167.0</v>
      </c>
      <c r="B147" s="22" t="s">
        <v>330</v>
      </c>
      <c r="C147" s="23" t="s">
        <v>19</v>
      </c>
      <c r="D147" s="21" t="s">
        <v>97</v>
      </c>
      <c r="E147" s="24">
        <v>2.0</v>
      </c>
    </row>
    <row r="148">
      <c r="A148" s="21">
        <v>169.0</v>
      </c>
      <c r="B148" s="22" t="s">
        <v>331</v>
      </c>
      <c r="C148" s="23" t="s">
        <v>21</v>
      </c>
      <c r="D148" s="21" t="s">
        <v>17</v>
      </c>
      <c r="E148" s="24">
        <v>2.0</v>
      </c>
    </row>
    <row r="149">
      <c r="A149" s="21">
        <v>173.0</v>
      </c>
      <c r="B149" s="22" t="s">
        <v>217</v>
      </c>
      <c r="C149" s="23" t="s">
        <v>88</v>
      </c>
      <c r="D149" s="21" t="s">
        <v>199</v>
      </c>
      <c r="E149" s="24">
        <v>2.0</v>
      </c>
    </row>
    <row r="150">
      <c r="A150" s="21">
        <v>179.0</v>
      </c>
      <c r="B150" s="22" t="s">
        <v>214</v>
      </c>
      <c r="C150" s="23" t="s">
        <v>9</v>
      </c>
      <c r="D150" s="21" t="s">
        <v>199</v>
      </c>
      <c r="E150" s="24">
        <v>2.0</v>
      </c>
    </row>
    <row r="151">
      <c r="A151" s="21">
        <v>181.0</v>
      </c>
      <c r="B151" s="22" t="s">
        <v>227</v>
      </c>
      <c r="C151" s="23" t="s">
        <v>41</v>
      </c>
      <c r="D151" s="21" t="s">
        <v>199</v>
      </c>
      <c r="E151" s="24">
        <v>2.0</v>
      </c>
    </row>
    <row r="152">
      <c r="A152" s="21">
        <v>182.0</v>
      </c>
      <c r="B152" s="22" t="s">
        <v>332</v>
      </c>
      <c r="C152" s="23" t="s">
        <v>6</v>
      </c>
      <c r="D152" s="21" t="s">
        <v>97</v>
      </c>
      <c r="E152" s="24">
        <v>2.0</v>
      </c>
    </row>
    <row r="153">
      <c r="A153" s="21">
        <v>184.0</v>
      </c>
      <c r="B153" s="22" t="s">
        <v>333</v>
      </c>
      <c r="C153" s="23" t="s">
        <v>65</v>
      </c>
      <c r="D153" s="21" t="s">
        <v>199</v>
      </c>
      <c r="E153" s="24">
        <v>2.0</v>
      </c>
    </row>
    <row r="154">
      <c r="A154" s="21">
        <v>187.0</v>
      </c>
      <c r="B154" s="22" t="s">
        <v>221</v>
      </c>
      <c r="C154" s="23" t="s">
        <v>88</v>
      </c>
      <c r="D154" s="21" t="s">
        <v>334</v>
      </c>
      <c r="E154" s="24">
        <v>2.0</v>
      </c>
    </row>
    <row r="155">
      <c r="A155" s="21">
        <v>189.0</v>
      </c>
      <c r="B155" s="22" t="s">
        <v>215</v>
      </c>
      <c r="C155" s="23" t="s">
        <v>32</v>
      </c>
      <c r="D155" s="21" t="s">
        <v>199</v>
      </c>
      <c r="E155" s="24">
        <v>2.0</v>
      </c>
    </row>
    <row r="156">
      <c r="A156" s="21">
        <v>192.0</v>
      </c>
      <c r="B156" s="22" t="s">
        <v>213</v>
      </c>
      <c r="C156" s="23" t="s">
        <v>60</v>
      </c>
      <c r="D156" s="21" t="s">
        <v>199</v>
      </c>
      <c r="E156" s="24">
        <v>2.0</v>
      </c>
    </row>
    <row r="157">
      <c r="A157" s="21">
        <v>194.0</v>
      </c>
      <c r="B157" s="22" t="s">
        <v>223</v>
      </c>
      <c r="C157" s="23" t="s">
        <v>34</v>
      </c>
      <c r="D157" s="21" t="s">
        <v>199</v>
      </c>
      <c r="E157" s="24">
        <v>2.0</v>
      </c>
    </row>
    <row r="158">
      <c r="A158" s="21">
        <v>195.0</v>
      </c>
      <c r="B158" s="22" t="s">
        <v>224</v>
      </c>
      <c r="C158" s="23" t="s">
        <v>63</v>
      </c>
      <c r="D158" s="21" t="s">
        <v>199</v>
      </c>
      <c r="E158" s="24">
        <v>2.0</v>
      </c>
    </row>
    <row r="159">
      <c r="A159" s="21">
        <v>196.0</v>
      </c>
      <c r="B159" s="22" t="s">
        <v>216</v>
      </c>
      <c r="C159" s="23" t="s">
        <v>26</v>
      </c>
      <c r="D159" s="21" t="s">
        <v>199</v>
      </c>
      <c r="E159" s="24">
        <v>2.0</v>
      </c>
    </row>
  </sheetData>
  <autoFilter ref="$A$1:$E$159"/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B16"/>
    <hyperlink r:id="rId29" ref="C16"/>
    <hyperlink r:id="rId30" ref="B17"/>
    <hyperlink r:id="rId31" ref="C17"/>
    <hyperlink r:id="rId32" ref="B18"/>
    <hyperlink r:id="rId33" ref="C18"/>
    <hyperlink r:id="rId34" ref="B19"/>
    <hyperlink r:id="rId35" ref="C19"/>
    <hyperlink r:id="rId36" ref="B20"/>
    <hyperlink r:id="rId37" ref="C20"/>
    <hyperlink r:id="rId38" ref="B21"/>
    <hyperlink r:id="rId39" ref="C21"/>
    <hyperlink r:id="rId40" ref="B22"/>
    <hyperlink r:id="rId41" ref="C22"/>
    <hyperlink r:id="rId42" ref="B23"/>
    <hyperlink r:id="rId43" ref="C23"/>
    <hyperlink r:id="rId44" ref="B24"/>
    <hyperlink r:id="rId45" ref="C24"/>
    <hyperlink r:id="rId46" ref="B25"/>
    <hyperlink r:id="rId47" ref="C25"/>
    <hyperlink r:id="rId48" ref="B26"/>
    <hyperlink r:id="rId49" ref="C26"/>
    <hyperlink r:id="rId50" ref="B27"/>
    <hyperlink r:id="rId51" ref="C27"/>
    <hyperlink r:id="rId52" ref="B28"/>
    <hyperlink r:id="rId53" ref="C28"/>
    <hyperlink r:id="rId54" ref="B29"/>
    <hyperlink r:id="rId55" ref="C29"/>
    <hyperlink r:id="rId56" ref="B30"/>
    <hyperlink r:id="rId57" ref="C30"/>
    <hyperlink r:id="rId58" ref="B31"/>
    <hyperlink r:id="rId59" ref="C31"/>
    <hyperlink r:id="rId60" ref="B32"/>
    <hyperlink r:id="rId61" ref="C32"/>
    <hyperlink r:id="rId62" ref="B33"/>
    <hyperlink r:id="rId63" ref="C33"/>
    <hyperlink r:id="rId64" ref="B34"/>
    <hyperlink r:id="rId65" ref="C34"/>
    <hyperlink r:id="rId66" ref="B35"/>
    <hyperlink r:id="rId67" ref="C35"/>
    <hyperlink r:id="rId68" ref="B36"/>
    <hyperlink r:id="rId69" ref="C36"/>
    <hyperlink r:id="rId70" ref="B37"/>
    <hyperlink r:id="rId71" ref="C37"/>
    <hyperlink r:id="rId72" ref="B38"/>
    <hyperlink r:id="rId73" ref="C38"/>
    <hyperlink r:id="rId74" ref="B39"/>
    <hyperlink r:id="rId75" ref="C39"/>
    <hyperlink r:id="rId76" ref="B40"/>
    <hyperlink r:id="rId77" ref="C40"/>
    <hyperlink r:id="rId78" ref="B41"/>
    <hyperlink r:id="rId79" ref="C41"/>
    <hyperlink r:id="rId80" ref="B42"/>
    <hyperlink r:id="rId81" ref="C42"/>
    <hyperlink r:id="rId82" ref="B43"/>
    <hyperlink r:id="rId83" ref="C43"/>
    <hyperlink r:id="rId84" ref="B44"/>
    <hyperlink r:id="rId85" ref="C44"/>
    <hyperlink r:id="rId86" ref="B45"/>
    <hyperlink r:id="rId87" ref="C45"/>
    <hyperlink r:id="rId88" ref="B46"/>
    <hyperlink r:id="rId89" ref="C46"/>
    <hyperlink r:id="rId90" ref="B47"/>
    <hyperlink r:id="rId91" ref="C47"/>
    <hyperlink r:id="rId92" ref="B48"/>
    <hyperlink r:id="rId93" ref="C48"/>
    <hyperlink r:id="rId94" ref="B49"/>
    <hyperlink r:id="rId95" ref="C49"/>
    <hyperlink r:id="rId96" ref="B50"/>
    <hyperlink r:id="rId97" ref="C50"/>
    <hyperlink r:id="rId98" ref="B51"/>
    <hyperlink r:id="rId99" ref="C51"/>
  </hyperlinks>
  <drawing r:id="rId10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8.13"/>
    <col customWidth="1" min="3" max="3" width="7.13"/>
    <col customWidth="1" min="4" max="4" width="6.38"/>
    <col customWidth="1" min="5" max="5" width="7.5"/>
  </cols>
  <sheetData>
    <row r="1">
      <c r="A1" s="25" t="s">
        <v>335</v>
      </c>
      <c r="B1" s="25" t="s">
        <v>1</v>
      </c>
      <c r="C1" s="25" t="s">
        <v>2</v>
      </c>
      <c r="D1" s="25" t="s">
        <v>336</v>
      </c>
      <c r="E1" s="25" t="s">
        <v>337</v>
      </c>
    </row>
    <row r="2">
      <c r="A2" s="26">
        <v>1.0</v>
      </c>
      <c r="B2" s="27" t="s">
        <v>8</v>
      </c>
      <c r="C2" s="26" t="s">
        <v>9</v>
      </c>
      <c r="D2" s="26" t="s">
        <v>7</v>
      </c>
      <c r="E2" s="28">
        <v>33.0</v>
      </c>
    </row>
    <row r="3">
      <c r="A3" s="26">
        <v>2.0</v>
      </c>
      <c r="B3" s="27" t="s">
        <v>5</v>
      </c>
      <c r="C3" s="26" t="s">
        <v>6</v>
      </c>
      <c r="D3" s="26" t="s">
        <v>7</v>
      </c>
      <c r="E3" s="28">
        <v>31.0</v>
      </c>
    </row>
    <row r="4">
      <c r="A4" s="26">
        <v>3.0</v>
      </c>
      <c r="B4" s="27" t="s">
        <v>16</v>
      </c>
      <c r="C4" s="26" t="s">
        <v>6</v>
      </c>
      <c r="D4" s="26" t="s">
        <v>17</v>
      </c>
      <c r="E4" s="28">
        <v>30.0</v>
      </c>
    </row>
    <row r="5">
      <c r="A5" s="26">
        <v>4.0</v>
      </c>
      <c r="B5" s="27" t="s">
        <v>10</v>
      </c>
      <c r="C5" s="26" t="s">
        <v>11</v>
      </c>
      <c r="D5" s="26" t="s">
        <v>7</v>
      </c>
      <c r="E5" s="28">
        <v>27.0</v>
      </c>
    </row>
    <row r="6">
      <c r="A6" s="26">
        <v>5.0</v>
      </c>
      <c r="B6" s="27" t="s">
        <v>12</v>
      </c>
      <c r="C6" s="26" t="s">
        <v>13</v>
      </c>
      <c r="D6" s="26" t="s">
        <v>7</v>
      </c>
      <c r="E6" s="28">
        <v>27.0</v>
      </c>
    </row>
    <row r="7">
      <c r="A7" s="26">
        <v>6.0</v>
      </c>
      <c r="B7" s="27" t="s">
        <v>25</v>
      </c>
      <c r="C7" s="26" t="s">
        <v>26</v>
      </c>
      <c r="D7" s="26" t="s">
        <v>17</v>
      </c>
      <c r="E7" s="28">
        <v>24.0</v>
      </c>
    </row>
    <row r="8">
      <c r="A8" s="26">
        <v>7.0</v>
      </c>
      <c r="B8" s="27" t="s">
        <v>22</v>
      </c>
      <c r="C8" s="26" t="s">
        <v>23</v>
      </c>
      <c r="D8" s="26" t="s">
        <v>17</v>
      </c>
      <c r="E8" s="28">
        <v>24.0</v>
      </c>
    </row>
    <row r="9">
      <c r="A9" s="26">
        <v>8.0</v>
      </c>
      <c r="B9" s="27" t="s">
        <v>33</v>
      </c>
      <c r="C9" s="26" t="s">
        <v>34</v>
      </c>
      <c r="D9" s="26" t="s">
        <v>7</v>
      </c>
      <c r="E9" s="28">
        <v>22.0</v>
      </c>
    </row>
    <row r="10">
      <c r="A10" s="26">
        <v>9.0</v>
      </c>
      <c r="B10" s="27" t="s">
        <v>20</v>
      </c>
      <c r="C10" s="26" t="s">
        <v>21</v>
      </c>
      <c r="D10" s="26" t="s">
        <v>7</v>
      </c>
      <c r="E10" s="28">
        <v>22.0</v>
      </c>
    </row>
    <row r="11">
      <c r="A11" s="26">
        <v>10.0</v>
      </c>
      <c r="B11" s="27" t="s">
        <v>24</v>
      </c>
      <c r="C11" s="26" t="s">
        <v>19</v>
      </c>
      <c r="D11" s="26" t="s">
        <v>17</v>
      </c>
      <c r="E11" s="28">
        <v>22.0</v>
      </c>
    </row>
    <row r="12">
      <c r="A12" s="26">
        <v>11.0</v>
      </c>
      <c r="B12" s="27" t="s">
        <v>29</v>
      </c>
      <c r="C12" s="26" t="s">
        <v>30</v>
      </c>
      <c r="D12" s="26" t="s">
        <v>7</v>
      </c>
      <c r="E12" s="28">
        <v>21.0</v>
      </c>
    </row>
    <row r="13">
      <c r="A13" s="26">
        <v>12.0</v>
      </c>
      <c r="B13" s="27" t="s">
        <v>27</v>
      </c>
      <c r="C13" s="26" t="s">
        <v>28</v>
      </c>
      <c r="D13" s="26" t="s">
        <v>7</v>
      </c>
      <c r="E13" s="28">
        <v>21.0</v>
      </c>
    </row>
    <row r="14">
      <c r="A14" s="26">
        <v>13.0</v>
      </c>
      <c r="B14" s="27" t="s">
        <v>35</v>
      </c>
      <c r="C14" s="26" t="s">
        <v>34</v>
      </c>
      <c r="D14" s="26" t="s">
        <v>17</v>
      </c>
      <c r="E14" s="28">
        <v>21.0</v>
      </c>
    </row>
    <row r="15">
      <c r="A15" s="26">
        <v>14.0</v>
      </c>
      <c r="B15" s="27" t="s">
        <v>18</v>
      </c>
      <c r="C15" s="26" t="s">
        <v>19</v>
      </c>
      <c r="D15" s="26" t="s">
        <v>7</v>
      </c>
      <c r="E15" s="28">
        <v>20.0</v>
      </c>
    </row>
    <row r="16">
      <c r="A16" s="26">
        <v>15.0</v>
      </c>
      <c r="B16" s="27" t="s">
        <v>36</v>
      </c>
      <c r="C16" s="26" t="s">
        <v>21</v>
      </c>
      <c r="D16" s="26" t="s">
        <v>17</v>
      </c>
      <c r="E16" s="28">
        <v>20.0</v>
      </c>
    </row>
    <row r="17">
      <c r="A17" s="26">
        <v>16.0</v>
      </c>
      <c r="B17" s="27" t="s">
        <v>31</v>
      </c>
      <c r="C17" s="26" t="s">
        <v>32</v>
      </c>
      <c r="D17" s="26" t="s">
        <v>7</v>
      </c>
      <c r="E17" s="28">
        <v>19.0</v>
      </c>
    </row>
    <row r="18">
      <c r="A18" s="26">
        <v>17.0</v>
      </c>
      <c r="B18" s="27" t="s">
        <v>38</v>
      </c>
      <c r="C18" s="26" t="s">
        <v>39</v>
      </c>
      <c r="D18" s="26" t="s">
        <v>17</v>
      </c>
      <c r="E18" s="28">
        <v>18.0</v>
      </c>
    </row>
    <row r="19">
      <c r="A19" s="26">
        <v>18.0</v>
      </c>
      <c r="B19" s="27" t="s">
        <v>37</v>
      </c>
      <c r="C19" s="26" t="s">
        <v>23</v>
      </c>
      <c r="D19" s="26" t="s">
        <v>7</v>
      </c>
      <c r="E19" s="28">
        <v>17.0</v>
      </c>
    </row>
    <row r="20">
      <c r="A20" s="26">
        <v>19.0</v>
      </c>
      <c r="B20" s="27" t="s">
        <v>46</v>
      </c>
      <c r="C20" s="26" t="s">
        <v>47</v>
      </c>
      <c r="D20" s="26" t="s">
        <v>17</v>
      </c>
      <c r="E20" s="28">
        <v>17.0</v>
      </c>
    </row>
    <row r="21">
      <c r="A21" s="26">
        <v>20.0</v>
      </c>
      <c r="B21" s="27" t="s">
        <v>48</v>
      </c>
      <c r="C21" s="26" t="s">
        <v>49</v>
      </c>
      <c r="D21" s="26" t="s">
        <v>17</v>
      </c>
      <c r="E21" s="28">
        <v>16.0</v>
      </c>
    </row>
    <row r="22">
      <c r="A22" s="26">
        <v>21.0</v>
      </c>
      <c r="B22" s="27" t="s">
        <v>42</v>
      </c>
      <c r="C22" s="26" t="s">
        <v>15</v>
      </c>
      <c r="D22" s="26" t="s">
        <v>43</v>
      </c>
      <c r="E22" s="28">
        <v>15.0</v>
      </c>
    </row>
    <row r="23">
      <c r="A23" s="26">
        <v>22.0</v>
      </c>
      <c r="B23" s="27" t="s">
        <v>40</v>
      </c>
      <c r="C23" s="26" t="s">
        <v>41</v>
      </c>
      <c r="D23" s="26" t="s">
        <v>7</v>
      </c>
      <c r="E23" s="28">
        <v>15.0</v>
      </c>
    </row>
    <row r="24">
      <c r="A24" s="26">
        <v>23.0</v>
      </c>
      <c r="B24" s="27" t="s">
        <v>56</v>
      </c>
      <c r="C24" s="26" t="s">
        <v>28</v>
      </c>
      <c r="D24" s="26" t="s">
        <v>17</v>
      </c>
      <c r="E24" s="28">
        <v>15.0</v>
      </c>
    </row>
    <row r="25">
      <c r="A25" s="26">
        <v>24.0</v>
      </c>
      <c r="B25" s="27" t="s">
        <v>50</v>
      </c>
      <c r="C25" s="26" t="s">
        <v>51</v>
      </c>
      <c r="D25" s="26" t="s">
        <v>7</v>
      </c>
      <c r="E25" s="28">
        <v>14.0</v>
      </c>
    </row>
    <row r="26">
      <c r="A26" s="26">
        <v>25.0</v>
      </c>
      <c r="B26" s="27" t="s">
        <v>64</v>
      </c>
      <c r="C26" s="26" t="s">
        <v>65</v>
      </c>
      <c r="D26" s="26" t="s">
        <v>17</v>
      </c>
      <c r="E26" s="28">
        <v>14.0</v>
      </c>
    </row>
    <row r="27">
      <c r="A27" s="26">
        <v>26.0</v>
      </c>
      <c r="B27" s="27" t="s">
        <v>69</v>
      </c>
      <c r="C27" s="26" t="s">
        <v>70</v>
      </c>
      <c r="D27" s="26" t="s">
        <v>7</v>
      </c>
      <c r="E27" s="28">
        <v>13.0</v>
      </c>
    </row>
    <row r="28">
      <c r="A28" s="26">
        <v>27.0</v>
      </c>
      <c r="B28" s="27" t="s">
        <v>71</v>
      </c>
      <c r="C28" s="26" t="s">
        <v>72</v>
      </c>
      <c r="D28" s="26" t="s">
        <v>7</v>
      </c>
      <c r="E28" s="28">
        <v>13.0</v>
      </c>
    </row>
    <row r="29">
      <c r="A29" s="26">
        <v>28.0</v>
      </c>
      <c r="B29" s="27" t="s">
        <v>52</v>
      </c>
      <c r="C29" s="26" t="s">
        <v>53</v>
      </c>
      <c r="D29" s="26" t="s">
        <v>17</v>
      </c>
      <c r="E29" s="28">
        <v>13.0</v>
      </c>
    </row>
    <row r="30">
      <c r="A30" s="26">
        <v>29.0</v>
      </c>
      <c r="B30" s="27" t="s">
        <v>74</v>
      </c>
      <c r="C30" s="26" t="s">
        <v>75</v>
      </c>
      <c r="D30" s="26" t="s">
        <v>17</v>
      </c>
      <c r="E30" s="28">
        <v>13.0</v>
      </c>
    </row>
    <row r="31">
      <c r="A31" s="26">
        <v>30.0</v>
      </c>
      <c r="B31" s="27" t="s">
        <v>87</v>
      </c>
      <c r="C31" s="26" t="s">
        <v>88</v>
      </c>
      <c r="D31" s="26" t="s">
        <v>7</v>
      </c>
      <c r="E31" s="28">
        <v>12.0</v>
      </c>
    </row>
    <row r="32">
      <c r="A32" s="26">
        <v>31.0</v>
      </c>
      <c r="B32" s="27" t="s">
        <v>73</v>
      </c>
      <c r="C32" s="26" t="s">
        <v>39</v>
      </c>
      <c r="D32" s="26" t="s">
        <v>7</v>
      </c>
      <c r="E32" s="28">
        <v>12.0</v>
      </c>
    </row>
    <row r="33">
      <c r="A33" s="26">
        <v>32.0</v>
      </c>
      <c r="B33" s="27" t="s">
        <v>55</v>
      </c>
      <c r="C33" s="26" t="s">
        <v>32</v>
      </c>
      <c r="D33" s="26" t="s">
        <v>17</v>
      </c>
      <c r="E33" s="28">
        <v>12.0</v>
      </c>
    </row>
    <row r="34">
      <c r="A34" s="26">
        <v>33.0</v>
      </c>
      <c r="B34" s="27" t="s">
        <v>54</v>
      </c>
      <c r="C34" s="26" t="s">
        <v>32</v>
      </c>
      <c r="D34" s="26" t="s">
        <v>17</v>
      </c>
      <c r="E34" s="28">
        <v>12.0</v>
      </c>
    </row>
    <row r="35">
      <c r="A35" s="26">
        <v>34.0</v>
      </c>
      <c r="B35" s="27" t="s">
        <v>96</v>
      </c>
      <c r="C35" s="26" t="s">
        <v>47</v>
      </c>
      <c r="D35" s="26" t="s">
        <v>97</v>
      </c>
      <c r="E35" s="28">
        <v>11.0</v>
      </c>
    </row>
    <row r="36">
      <c r="A36" s="26">
        <v>35.0</v>
      </c>
      <c r="B36" s="27" t="s">
        <v>58</v>
      </c>
      <c r="C36" s="26" t="s">
        <v>28</v>
      </c>
      <c r="D36" s="26" t="s">
        <v>43</v>
      </c>
      <c r="E36" s="28">
        <v>11.0</v>
      </c>
    </row>
    <row r="37">
      <c r="A37" s="26">
        <v>36.0</v>
      </c>
      <c r="B37" s="27" t="s">
        <v>82</v>
      </c>
      <c r="C37" s="26" t="s">
        <v>83</v>
      </c>
      <c r="D37" s="26" t="s">
        <v>7</v>
      </c>
      <c r="E37" s="28">
        <v>11.0</v>
      </c>
    </row>
    <row r="38">
      <c r="A38" s="26">
        <v>37.0</v>
      </c>
      <c r="B38" s="27" t="s">
        <v>90</v>
      </c>
      <c r="C38" s="26" t="s">
        <v>6</v>
      </c>
      <c r="D38" s="26" t="s">
        <v>17</v>
      </c>
      <c r="E38" s="28">
        <v>11.0</v>
      </c>
    </row>
    <row r="39">
      <c r="A39" s="26">
        <v>38.0</v>
      </c>
      <c r="B39" s="27" t="s">
        <v>76</v>
      </c>
      <c r="C39" s="26" t="s">
        <v>77</v>
      </c>
      <c r="D39" s="26" t="s">
        <v>17</v>
      </c>
      <c r="E39" s="28">
        <v>11.0</v>
      </c>
    </row>
    <row r="40">
      <c r="A40" s="26">
        <v>39.0</v>
      </c>
      <c r="B40" s="27" t="s">
        <v>62</v>
      </c>
      <c r="C40" s="26" t="s">
        <v>63</v>
      </c>
      <c r="D40" s="26" t="s">
        <v>17</v>
      </c>
      <c r="E40" s="28">
        <v>11.0</v>
      </c>
    </row>
    <row r="41">
      <c r="A41" s="26">
        <v>40.0</v>
      </c>
      <c r="B41" s="27" t="s">
        <v>66</v>
      </c>
      <c r="C41" s="26" t="s">
        <v>67</v>
      </c>
      <c r="D41" s="26" t="s">
        <v>17</v>
      </c>
      <c r="E41" s="28">
        <v>11.0</v>
      </c>
    </row>
    <row r="42">
      <c r="A42" s="26">
        <v>41.0</v>
      </c>
      <c r="B42" s="27" t="s">
        <v>57</v>
      </c>
      <c r="C42" s="26" t="s">
        <v>11</v>
      </c>
      <c r="D42" s="26" t="s">
        <v>17</v>
      </c>
      <c r="E42" s="28">
        <v>11.0</v>
      </c>
    </row>
    <row r="43">
      <c r="A43" s="26">
        <v>42.0</v>
      </c>
      <c r="B43" s="27" t="s">
        <v>80</v>
      </c>
      <c r="C43" s="26" t="s">
        <v>45</v>
      </c>
      <c r="D43" s="26" t="s">
        <v>7</v>
      </c>
      <c r="E43" s="28">
        <v>10.0</v>
      </c>
    </row>
    <row r="44">
      <c r="A44" s="26">
        <v>43.0</v>
      </c>
      <c r="B44" s="27" t="s">
        <v>84</v>
      </c>
      <c r="C44" s="26" t="s">
        <v>60</v>
      </c>
      <c r="D44" s="26" t="s">
        <v>7</v>
      </c>
      <c r="E44" s="28">
        <v>10.0</v>
      </c>
    </row>
    <row r="45">
      <c r="A45" s="26">
        <v>44.0</v>
      </c>
      <c r="B45" s="27" t="s">
        <v>78</v>
      </c>
      <c r="C45" s="26" t="s">
        <v>9</v>
      </c>
      <c r="D45" s="26" t="s">
        <v>17</v>
      </c>
      <c r="E45" s="28">
        <v>10.0</v>
      </c>
    </row>
    <row r="46">
      <c r="A46" s="26">
        <v>45.0</v>
      </c>
      <c r="B46" s="27" t="s">
        <v>79</v>
      </c>
      <c r="C46" s="26" t="s">
        <v>77</v>
      </c>
      <c r="D46" s="26" t="s">
        <v>17</v>
      </c>
      <c r="E46" s="28">
        <v>10.0</v>
      </c>
    </row>
    <row r="47">
      <c r="A47" s="26">
        <v>46.0</v>
      </c>
      <c r="B47" s="27" t="s">
        <v>99</v>
      </c>
      <c r="C47" s="26" t="s">
        <v>26</v>
      </c>
      <c r="D47" s="26" t="s">
        <v>7</v>
      </c>
      <c r="E47" s="28">
        <v>9.0</v>
      </c>
    </row>
    <row r="48">
      <c r="A48" s="26">
        <v>47.0</v>
      </c>
      <c r="B48" s="27" t="s">
        <v>81</v>
      </c>
      <c r="C48" s="26" t="s">
        <v>63</v>
      </c>
      <c r="D48" s="26" t="s">
        <v>7</v>
      </c>
      <c r="E48" s="28">
        <v>9.0</v>
      </c>
    </row>
    <row r="49">
      <c r="A49" s="26">
        <v>48.0</v>
      </c>
      <c r="B49" s="27" t="s">
        <v>61</v>
      </c>
      <c r="C49" s="26" t="s">
        <v>51</v>
      </c>
      <c r="D49" s="26" t="s">
        <v>17</v>
      </c>
      <c r="E49" s="28">
        <v>9.0</v>
      </c>
    </row>
    <row r="50">
      <c r="A50" s="26">
        <v>49.0</v>
      </c>
      <c r="B50" s="27" t="s">
        <v>98</v>
      </c>
      <c r="C50" s="26" t="s">
        <v>15</v>
      </c>
      <c r="D50" s="26" t="s">
        <v>97</v>
      </c>
      <c r="E50" s="28">
        <v>8.0</v>
      </c>
    </row>
    <row r="51">
      <c r="A51" s="26">
        <v>50.0</v>
      </c>
      <c r="B51" s="27" t="s">
        <v>108</v>
      </c>
      <c r="C51" s="26" t="s">
        <v>65</v>
      </c>
      <c r="D51" s="26" t="s">
        <v>97</v>
      </c>
      <c r="E51" s="28">
        <v>8.0</v>
      </c>
    </row>
    <row r="52">
      <c r="A52" s="26">
        <v>51.0</v>
      </c>
      <c r="B52" s="27" t="s">
        <v>59</v>
      </c>
      <c r="C52" s="26" t="s">
        <v>60</v>
      </c>
      <c r="D52" s="26" t="s">
        <v>43</v>
      </c>
      <c r="E52" s="28">
        <v>8.0</v>
      </c>
    </row>
    <row r="53">
      <c r="A53" s="26">
        <v>52.0</v>
      </c>
      <c r="B53" s="27" t="s">
        <v>111</v>
      </c>
      <c r="C53" s="26" t="s">
        <v>72</v>
      </c>
      <c r="D53" s="26" t="s">
        <v>17</v>
      </c>
      <c r="E53" s="28">
        <v>8.0</v>
      </c>
    </row>
    <row r="54">
      <c r="A54" s="26">
        <v>53.0</v>
      </c>
      <c r="B54" s="27" t="s">
        <v>91</v>
      </c>
      <c r="C54" s="26" t="s">
        <v>67</v>
      </c>
      <c r="D54" s="26" t="s">
        <v>17</v>
      </c>
      <c r="E54" s="28">
        <v>8.0</v>
      </c>
    </row>
    <row r="55">
      <c r="A55" s="26">
        <v>54.0</v>
      </c>
      <c r="B55" s="27" t="s">
        <v>103</v>
      </c>
      <c r="C55" s="26" t="s">
        <v>15</v>
      </c>
      <c r="D55" s="26" t="s">
        <v>17</v>
      </c>
      <c r="E55" s="28">
        <v>8.0</v>
      </c>
    </row>
    <row r="56">
      <c r="A56" s="26">
        <v>55.0</v>
      </c>
      <c r="B56" s="27" t="s">
        <v>14</v>
      </c>
      <c r="C56" s="26" t="s">
        <v>15</v>
      </c>
      <c r="D56" s="26" t="s">
        <v>7</v>
      </c>
      <c r="E56" s="28">
        <v>7.0</v>
      </c>
    </row>
    <row r="57">
      <c r="A57" s="26">
        <v>56.0</v>
      </c>
      <c r="B57" s="27" t="s">
        <v>113</v>
      </c>
      <c r="C57" s="26" t="s">
        <v>88</v>
      </c>
      <c r="D57" s="26" t="s">
        <v>17</v>
      </c>
      <c r="E57" s="28">
        <v>7.0</v>
      </c>
    </row>
    <row r="58">
      <c r="A58" s="26">
        <v>57.0</v>
      </c>
      <c r="B58" s="27" t="s">
        <v>68</v>
      </c>
      <c r="C58" s="26" t="s">
        <v>60</v>
      </c>
      <c r="D58" s="26" t="s">
        <v>17</v>
      </c>
      <c r="E58" s="28">
        <v>7.0</v>
      </c>
    </row>
    <row r="59">
      <c r="A59" s="26">
        <v>58.0</v>
      </c>
      <c r="B59" s="27" t="s">
        <v>93</v>
      </c>
      <c r="C59" s="26" t="s">
        <v>41</v>
      </c>
      <c r="D59" s="26" t="s">
        <v>17</v>
      </c>
      <c r="E59" s="28">
        <v>7.0</v>
      </c>
    </row>
    <row r="60">
      <c r="A60" s="26">
        <v>59.0</v>
      </c>
      <c r="B60" s="27" t="s">
        <v>92</v>
      </c>
      <c r="C60" s="26" t="s">
        <v>9</v>
      </c>
      <c r="D60" s="26" t="s">
        <v>17</v>
      </c>
      <c r="E60" s="28">
        <v>7.0</v>
      </c>
    </row>
    <row r="61">
      <c r="A61" s="26">
        <v>60.0</v>
      </c>
      <c r="B61" s="27" t="s">
        <v>109</v>
      </c>
      <c r="C61" s="26" t="s">
        <v>26</v>
      </c>
      <c r="D61" s="26" t="s">
        <v>97</v>
      </c>
      <c r="E61" s="28">
        <v>6.0</v>
      </c>
    </row>
    <row r="62">
      <c r="A62" s="26">
        <v>61.0</v>
      </c>
      <c r="B62" s="27" t="s">
        <v>169</v>
      </c>
      <c r="C62" s="26" t="s">
        <v>21</v>
      </c>
      <c r="D62" s="26" t="s">
        <v>97</v>
      </c>
      <c r="E62" s="28">
        <v>6.0</v>
      </c>
    </row>
    <row r="63">
      <c r="A63" s="26">
        <v>62.0</v>
      </c>
      <c r="B63" s="27" t="s">
        <v>106</v>
      </c>
      <c r="C63" s="26" t="s">
        <v>41</v>
      </c>
      <c r="D63" s="26" t="s">
        <v>97</v>
      </c>
      <c r="E63" s="28">
        <v>6.0</v>
      </c>
    </row>
    <row r="64">
      <c r="A64" s="26">
        <v>63.0</v>
      </c>
      <c r="B64" s="27" t="s">
        <v>119</v>
      </c>
      <c r="C64" s="26" t="s">
        <v>19</v>
      </c>
      <c r="D64" s="26" t="s">
        <v>43</v>
      </c>
      <c r="E64" s="28">
        <v>6.0</v>
      </c>
    </row>
    <row r="65">
      <c r="A65" s="26">
        <v>64.0</v>
      </c>
      <c r="B65" s="27" t="s">
        <v>117</v>
      </c>
      <c r="C65" s="26" t="s">
        <v>41</v>
      </c>
      <c r="D65" s="26" t="s">
        <v>43</v>
      </c>
      <c r="E65" s="28">
        <v>6.0</v>
      </c>
    </row>
    <row r="66">
      <c r="A66" s="26">
        <v>65.0</v>
      </c>
      <c r="B66" s="27" t="s">
        <v>118</v>
      </c>
      <c r="C66" s="26" t="s">
        <v>83</v>
      </c>
      <c r="D66" s="26" t="s">
        <v>43</v>
      </c>
      <c r="E66" s="28">
        <v>6.0</v>
      </c>
    </row>
    <row r="67">
      <c r="A67" s="26">
        <v>66.0</v>
      </c>
      <c r="B67" s="27" t="s">
        <v>125</v>
      </c>
      <c r="C67" s="26" t="s">
        <v>47</v>
      </c>
      <c r="D67" s="26" t="s">
        <v>43</v>
      </c>
      <c r="E67" s="28">
        <v>6.0</v>
      </c>
    </row>
    <row r="68">
      <c r="A68" s="26">
        <v>67.0</v>
      </c>
      <c r="B68" s="27" t="s">
        <v>101</v>
      </c>
      <c r="C68" s="26" t="s">
        <v>23</v>
      </c>
      <c r="D68" s="26" t="s">
        <v>7</v>
      </c>
      <c r="E68" s="28">
        <v>6.0</v>
      </c>
    </row>
    <row r="69">
      <c r="A69" s="26">
        <v>68.0</v>
      </c>
      <c r="B69" s="27" t="s">
        <v>128</v>
      </c>
      <c r="C69" s="26" t="s">
        <v>21</v>
      </c>
      <c r="D69" s="26" t="s">
        <v>7</v>
      </c>
      <c r="E69" s="28">
        <v>6.0</v>
      </c>
    </row>
    <row r="70">
      <c r="A70" s="26">
        <v>69.0</v>
      </c>
      <c r="B70" s="27" t="s">
        <v>89</v>
      </c>
      <c r="C70" s="26" t="s">
        <v>75</v>
      </c>
      <c r="D70" s="26" t="s">
        <v>7</v>
      </c>
      <c r="E70" s="28">
        <v>6.0</v>
      </c>
    </row>
    <row r="71">
      <c r="A71" s="26">
        <v>70.0</v>
      </c>
      <c r="B71" s="27" t="s">
        <v>135</v>
      </c>
      <c r="C71" s="26" t="s">
        <v>53</v>
      </c>
      <c r="D71" s="26" t="s">
        <v>7</v>
      </c>
      <c r="E71" s="28">
        <v>6.0</v>
      </c>
    </row>
    <row r="72">
      <c r="A72" s="26">
        <v>71.0</v>
      </c>
      <c r="B72" s="27" t="s">
        <v>124</v>
      </c>
      <c r="C72" s="26" t="s">
        <v>67</v>
      </c>
      <c r="D72" s="26" t="s">
        <v>7</v>
      </c>
      <c r="E72" s="28">
        <v>6.0</v>
      </c>
    </row>
    <row r="73">
      <c r="A73" s="26">
        <v>72.0</v>
      </c>
      <c r="B73" s="27" t="s">
        <v>130</v>
      </c>
      <c r="C73" s="26" t="s">
        <v>95</v>
      </c>
      <c r="D73" s="26" t="s">
        <v>17</v>
      </c>
      <c r="E73" s="28">
        <v>6.0</v>
      </c>
    </row>
    <row r="74">
      <c r="A74" s="26">
        <v>73.0</v>
      </c>
      <c r="B74" s="27" t="s">
        <v>112</v>
      </c>
      <c r="C74" s="26" t="s">
        <v>9</v>
      </c>
      <c r="D74" s="26" t="s">
        <v>17</v>
      </c>
      <c r="E74" s="28">
        <v>6.0</v>
      </c>
    </row>
    <row r="75">
      <c r="A75" s="26">
        <v>74.0</v>
      </c>
      <c r="B75" s="27" t="s">
        <v>104</v>
      </c>
      <c r="C75" s="26" t="s">
        <v>28</v>
      </c>
      <c r="D75" s="26" t="s">
        <v>17</v>
      </c>
      <c r="E75" s="28">
        <v>6.0</v>
      </c>
    </row>
    <row r="76">
      <c r="A76" s="26">
        <v>75.0</v>
      </c>
      <c r="B76" s="27" t="s">
        <v>120</v>
      </c>
      <c r="C76" s="26" t="s">
        <v>83</v>
      </c>
      <c r="D76" s="26" t="s">
        <v>7</v>
      </c>
      <c r="E76" s="28">
        <v>5.0</v>
      </c>
    </row>
    <row r="77">
      <c r="A77" s="26">
        <v>76.0</v>
      </c>
      <c r="B77" s="27" t="s">
        <v>94</v>
      </c>
      <c r="C77" s="26" t="s">
        <v>95</v>
      </c>
      <c r="D77" s="26" t="s">
        <v>7</v>
      </c>
      <c r="E77" s="28">
        <v>5.0</v>
      </c>
    </row>
    <row r="78">
      <c r="A78" s="26">
        <v>77.0</v>
      </c>
      <c r="B78" s="27" t="s">
        <v>127</v>
      </c>
      <c r="C78" s="26" t="s">
        <v>77</v>
      </c>
      <c r="D78" s="26" t="s">
        <v>7</v>
      </c>
      <c r="E78" s="28">
        <v>5.0</v>
      </c>
    </row>
    <row r="79">
      <c r="A79" s="26">
        <v>78.0</v>
      </c>
      <c r="B79" s="27" t="s">
        <v>126</v>
      </c>
      <c r="C79" s="26" t="s">
        <v>47</v>
      </c>
      <c r="D79" s="26" t="s">
        <v>7</v>
      </c>
      <c r="E79" s="28">
        <v>5.0</v>
      </c>
    </row>
    <row r="80">
      <c r="A80" s="26">
        <v>79.0</v>
      </c>
      <c r="B80" s="27" t="s">
        <v>114</v>
      </c>
      <c r="C80" s="26" t="s">
        <v>72</v>
      </c>
      <c r="D80" s="26" t="s">
        <v>17</v>
      </c>
      <c r="E80" s="28">
        <v>5.0</v>
      </c>
    </row>
    <row r="81">
      <c r="A81" s="26">
        <v>80.0</v>
      </c>
      <c r="B81" s="27" t="s">
        <v>105</v>
      </c>
      <c r="C81" s="26" t="s">
        <v>83</v>
      </c>
      <c r="D81" s="26" t="s">
        <v>17</v>
      </c>
      <c r="E81" s="28">
        <v>5.0</v>
      </c>
    </row>
    <row r="82">
      <c r="A82" s="26">
        <v>81.0</v>
      </c>
      <c r="B82" s="27" t="s">
        <v>102</v>
      </c>
      <c r="C82" s="26" t="s">
        <v>63</v>
      </c>
      <c r="D82" s="26" t="s">
        <v>17</v>
      </c>
      <c r="E82" s="28">
        <v>5.0</v>
      </c>
    </row>
    <row r="83">
      <c r="A83" s="26">
        <v>82.0</v>
      </c>
      <c r="B83" s="27" t="s">
        <v>115</v>
      </c>
      <c r="C83" s="26" t="s">
        <v>47</v>
      </c>
      <c r="D83" s="26" t="s">
        <v>17</v>
      </c>
      <c r="E83" s="28">
        <v>5.0</v>
      </c>
    </row>
    <row r="84">
      <c r="A84" s="26">
        <v>83.0</v>
      </c>
      <c r="B84" s="27" t="s">
        <v>143</v>
      </c>
      <c r="C84" s="26" t="s">
        <v>123</v>
      </c>
      <c r="D84" s="26" t="s">
        <v>17</v>
      </c>
      <c r="E84" s="28">
        <v>5.0</v>
      </c>
    </row>
    <row r="85">
      <c r="A85" s="26">
        <v>84.0</v>
      </c>
      <c r="B85" s="27" t="s">
        <v>140</v>
      </c>
      <c r="C85" s="26" t="s">
        <v>32</v>
      </c>
      <c r="D85" s="26" t="s">
        <v>43</v>
      </c>
      <c r="E85" s="28">
        <v>4.0</v>
      </c>
    </row>
    <row r="86">
      <c r="A86" s="26">
        <v>85.0</v>
      </c>
      <c r="B86" s="27" t="s">
        <v>148</v>
      </c>
      <c r="C86" s="26" t="s">
        <v>65</v>
      </c>
      <c r="D86" s="26" t="s">
        <v>7</v>
      </c>
      <c r="E86" s="28">
        <v>4.0</v>
      </c>
    </row>
    <row r="87">
      <c r="A87" s="26">
        <v>86.0</v>
      </c>
      <c r="B87" s="27" t="s">
        <v>86</v>
      </c>
      <c r="C87" s="26" t="s">
        <v>49</v>
      </c>
      <c r="D87" s="26" t="s">
        <v>7</v>
      </c>
      <c r="E87" s="28">
        <v>4.0</v>
      </c>
    </row>
    <row r="88">
      <c r="A88" s="26">
        <v>87.0</v>
      </c>
      <c r="B88" s="27" t="s">
        <v>137</v>
      </c>
      <c r="C88" s="26" t="s">
        <v>123</v>
      </c>
      <c r="D88" s="26" t="s">
        <v>7</v>
      </c>
      <c r="E88" s="28">
        <v>4.0</v>
      </c>
    </row>
    <row r="89">
      <c r="A89" s="26">
        <v>88.0</v>
      </c>
      <c r="B89" s="27" t="s">
        <v>116</v>
      </c>
      <c r="C89" s="26" t="s">
        <v>45</v>
      </c>
      <c r="D89" s="26" t="s">
        <v>17</v>
      </c>
      <c r="E89" s="28">
        <v>4.0</v>
      </c>
    </row>
    <row r="90">
      <c r="A90" s="26">
        <v>89.0</v>
      </c>
      <c r="B90" s="27" t="s">
        <v>145</v>
      </c>
      <c r="C90" s="26" t="s">
        <v>60</v>
      </c>
      <c r="D90" s="26" t="s">
        <v>17</v>
      </c>
      <c r="E90" s="28">
        <v>4.0</v>
      </c>
    </row>
    <row r="91">
      <c r="A91" s="26">
        <v>90.0</v>
      </c>
      <c r="B91" s="27" t="s">
        <v>110</v>
      </c>
      <c r="C91" s="26" t="s">
        <v>26</v>
      </c>
      <c r="D91" s="26" t="s">
        <v>17</v>
      </c>
      <c r="E91" s="28">
        <v>4.0</v>
      </c>
    </row>
    <row r="92">
      <c r="A92" s="26">
        <v>91.0</v>
      </c>
      <c r="B92" s="27" t="s">
        <v>107</v>
      </c>
      <c r="C92" s="26" t="s">
        <v>60</v>
      </c>
      <c r="D92" s="26" t="s">
        <v>97</v>
      </c>
      <c r="E92" s="28">
        <v>3.0</v>
      </c>
    </row>
    <row r="93">
      <c r="A93" s="26">
        <v>92.0</v>
      </c>
      <c r="B93" s="27" t="s">
        <v>168</v>
      </c>
      <c r="C93" s="26" t="s">
        <v>77</v>
      </c>
      <c r="D93" s="26" t="s">
        <v>97</v>
      </c>
      <c r="E93" s="28">
        <v>3.0</v>
      </c>
    </row>
    <row r="94">
      <c r="A94" s="26">
        <v>93.0</v>
      </c>
      <c r="B94" s="27" t="s">
        <v>159</v>
      </c>
      <c r="C94" s="26" t="s">
        <v>6</v>
      </c>
      <c r="D94" s="26" t="s">
        <v>97</v>
      </c>
      <c r="E94" s="28">
        <v>3.0</v>
      </c>
    </row>
    <row r="95">
      <c r="A95" s="26">
        <v>94.0</v>
      </c>
      <c r="B95" s="27" t="s">
        <v>158</v>
      </c>
      <c r="C95" s="26" t="s">
        <v>53</v>
      </c>
      <c r="D95" s="26" t="s">
        <v>97</v>
      </c>
      <c r="E95" s="28">
        <v>3.0</v>
      </c>
    </row>
    <row r="96">
      <c r="A96" s="26">
        <v>95.0</v>
      </c>
      <c r="B96" s="27" t="s">
        <v>160</v>
      </c>
      <c r="C96" s="26" t="s">
        <v>32</v>
      </c>
      <c r="D96" s="26" t="s">
        <v>97</v>
      </c>
      <c r="E96" s="28">
        <v>3.0</v>
      </c>
    </row>
    <row r="97">
      <c r="A97" s="26">
        <v>96.0</v>
      </c>
      <c r="B97" s="27" t="s">
        <v>161</v>
      </c>
      <c r="C97" s="26" t="s">
        <v>53</v>
      </c>
      <c r="D97" s="26" t="s">
        <v>43</v>
      </c>
      <c r="E97" s="28">
        <v>3.0</v>
      </c>
    </row>
    <row r="98">
      <c r="A98" s="26">
        <v>97.0</v>
      </c>
      <c r="B98" s="27" t="s">
        <v>131</v>
      </c>
      <c r="C98" s="26" t="s">
        <v>123</v>
      </c>
      <c r="D98" s="26" t="s">
        <v>43</v>
      </c>
      <c r="E98" s="28">
        <v>3.0</v>
      </c>
    </row>
    <row r="99">
      <c r="A99" s="26">
        <v>98.0</v>
      </c>
      <c r="B99" s="27" t="s">
        <v>136</v>
      </c>
      <c r="C99" s="26" t="s">
        <v>67</v>
      </c>
      <c r="D99" s="26" t="s">
        <v>7</v>
      </c>
      <c r="E99" s="28">
        <v>3.0</v>
      </c>
    </row>
    <row r="100">
      <c r="A100" s="26">
        <v>99.0</v>
      </c>
      <c r="B100" s="27" t="s">
        <v>191</v>
      </c>
      <c r="C100" s="26" t="s">
        <v>63</v>
      </c>
      <c r="D100" s="26" t="s">
        <v>7</v>
      </c>
      <c r="E100" s="28">
        <v>3.0</v>
      </c>
    </row>
    <row r="101">
      <c r="A101" s="26">
        <v>100.0</v>
      </c>
      <c r="B101" s="27" t="s">
        <v>189</v>
      </c>
      <c r="C101" s="26" t="s">
        <v>15</v>
      </c>
      <c r="D101" s="26" t="s">
        <v>7</v>
      </c>
      <c r="E101" s="28">
        <v>3.0</v>
      </c>
    </row>
    <row r="102">
      <c r="A102" s="26">
        <v>101.0</v>
      </c>
      <c r="B102" s="27" t="s">
        <v>248</v>
      </c>
      <c r="C102" s="26" t="s">
        <v>49</v>
      </c>
      <c r="D102" s="26" t="s">
        <v>7</v>
      </c>
      <c r="E102" s="28">
        <v>3.0</v>
      </c>
    </row>
    <row r="103">
      <c r="A103" s="26">
        <v>102.0</v>
      </c>
      <c r="B103" s="27" t="s">
        <v>153</v>
      </c>
      <c r="C103" s="26" t="s">
        <v>39</v>
      </c>
      <c r="D103" s="26" t="s">
        <v>7</v>
      </c>
      <c r="E103" s="28">
        <v>3.0</v>
      </c>
    </row>
    <row r="104">
      <c r="A104" s="26">
        <v>103.0</v>
      </c>
      <c r="B104" s="27" t="s">
        <v>100</v>
      </c>
      <c r="C104" s="26" t="s">
        <v>15</v>
      </c>
      <c r="D104" s="26" t="s">
        <v>7</v>
      </c>
      <c r="E104" s="28">
        <v>3.0</v>
      </c>
    </row>
    <row r="105">
      <c r="A105" s="26">
        <v>104.0</v>
      </c>
      <c r="B105" s="27" t="s">
        <v>149</v>
      </c>
      <c r="C105" s="26" t="s">
        <v>41</v>
      </c>
      <c r="D105" s="26" t="s">
        <v>7</v>
      </c>
      <c r="E105" s="28">
        <v>3.0</v>
      </c>
    </row>
    <row r="106">
      <c r="A106" s="26">
        <v>105.0</v>
      </c>
      <c r="B106" s="27" t="s">
        <v>85</v>
      </c>
      <c r="C106" s="26" t="s">
        <v>65</v>
      </c>
      <c r="D106" s="26" t="s">
        <v>7</v>
      </c>
      <c r="E106" s="28">
        <v>3.0</v>
      </c>
    </row>
    <row r="107">
      <c r="A107" s="26">
        <v>106.0</v>
      </c>
      <c r="B107" s="27" t="s">
        <v>139</v>
      </c>
      <c r="C107" s="26" t="s">
        <v>51</v>
      </c>
      <c r="D107" s="26" t="s">
        <v>7</v>
      </c>
      <c r="E107" s="28">
        <v>3.0</v>
      </c>
    </row>
    <row r="108">
      <c r="A108" s="26">
        <v>107.0</v>
      </c>
      <c r="B108" s="27" t="s">
        <v>238</v>
      </c>
      <c r="C108" s="26" t="s">
        <v>95</v>
      </c>
      <c r="D108" s="26" t="s">
        <v>7</v>
      </c>
      <c r="E108" s="28">
        <v>3.0</v>
      </c>
    </row>
    <row r="109">
      <c r="A109" s="26">
        <v>108.0</v>
      </c>
      <c r="B109" s="27" t="s">
        <v>133</v>
      </c>
      <c r="C109" s="26" t="s">
        <v>19</v>
      </c>
      <c r="D109" s="26" t="s">
        <v>17</v>
      </c>
      <c r="E109" s="28">
        <v>3.0</v>
      </c>
    </row>
    <row r="110">
      <c r="A110" s="26">
        <v>109.0</v>
      </c>
      <c r="B110" s="27" t="s">
        <v>132</v>
      </c>
      <c r="C110" s="26" t="s">
        <v>15</v>
      </c>
      <c r="D110" s="26" t="s">
        <v>17</v>
      </c>
      <c r="E110" s="28">
        <v>3.0</v>
      </c>
    </row>
    <row r="111">
      <c r="A111" s="26">
        <v>110.0</v>
      </c>
      <c r="B111" s="27" t="s">
        <v>134</v>
      </c>
      <c r="C111" s="26" t="s">
        <v>75</v>
      </c>
      <c r="D111" s="26" t="s">
        <v>17</v>
      </c>
      <c r="E111" s="28">
        <v>3.0</v>
      </c>
    </row>
    <row r="112">
      <c r="A112" s="26">
        <v>111.0</v>
      </c>
      <c r="B112" s="27" t="s">
        <v>144</v>
      </c>
      <c r="C112" s="26" t="s">
        <v>77</v>
      </c>
      <c r="D112" s="26" t="s">
        <v>17</v>
      </c>
      <c r="E112" s="28">
        <v>3.0</v>
      </c>
    </row>
    <row r="113">
      <c r="A113" s="26">
        <v>112.0</v>
      </c>
      <c r="B113" s="27" t="s">
        <v>338</v>
      </c>
      <c r="C113" s="26" t="s">
        <v>45</v>
      </c>
      <c r="D113" s="26" t="s">
        <v>17</v>
      </c>
      <c r="E113" s="28">
        <v>3.0</v>
      </c>
    </row>
    <row r="114">
      <c r="A114" s="26">
        <v>113.0</v>
      </c>
      <c r="B114" s="27" t="s">
        <v>121</v>
      </c>
      <c r="C114" s="26" t="s">
        <v>70</v>
      </c>
      <c r="D114" s="26" t="s">
        <v>17</v>
      </c>
      <c r="E114" s="28">
        <v>3.0</v>
      </c>
    </row>
    <row r="115">
      <c r="A115" s="26">
        <v>114.0</v>
      </c>
      <c r="B115" s="27" t="s">
        <v>270</v>
      </c>
      <c r="C115" s="26" t="s">
        <v>34</v>
      </c>
      <c r="D115" s="26" t="s">
        <v>17</v>
      </c>
      <c r="E115" s="28">
        <v>3.0</v>
      </c>
    </row>
    <row r="116">
      <c r="A116" s="26">
        <v>115.0</v>
      </c>
      <c r="B116" s="27" t="s">
        <v>198</v>
      </c>
      <c r="C116" s="26" t="s">
        <v>30</v>
      </c>
      <c r="D116" s="26" t="s">
        <v>199</v>
      </c>
      <c r="E116" s="28">
        <v>2.0</v>
      </c>
    </row>
    <row r="117">
      <c r="A117" s="26">
        <v>116.0</v>
      </c>
      <c r="B117" s="27" t="s">
        <v>181</v>
      </c>
      <c r="C117" s="26" t="s">
        <v>123</v>
      </c>
      <c r="D117" s="26" t="s">
        <v>97</v>
      </c>
      <c r="E117" s="28">
        <v>2.0</v>
      </c>
    </row>
    <row r="118">
      <c r="A118" s="26">
        <v>117.0</v>
      </c>
      <c r="B118" s="27" t="s">
        <v>179</v>
      </c>
      <c r="C118" s="26" t="s">
        <v>72</v>
      </c>
      <c r="D118" s="26" t="s">
        <v>97</v>
      </c>
      <c r="E118" s="28">
        <v>2.0</v>
      </c>
    </row>
    <row r="119">
      <c r="A119" s="26">
        <v>118.0</v>
      </c>
      <c r="B119" s="27" t="s">
        <v>180</v>
      </c>
      <c r="C119" s="26" t="s">
        <v>23</v>
      </c>
      <c r="D119" s="26" t="s">
        <v>97</v>
      </c>
      <c r="E119" s="28">
        <v>2.0</v>
      </c>
    </row>
    <row r="120">
      <c r="A120" s="26">
        <v>119.0</v>
      </c>
      <c r="B120" s="27" t="s">
        <v>177</v>
      </c>
      <c r="C120" s="26" t="s">
        <v>34</v>
      </c>
      <c r="D120" s="26" t="s">
        <v>97</v>
      </c>
      <c r="E120" s="28">
        <v>2.0</v>
      </c>
    </row>
    <row r="121">
      <c r="A121" s="26">
        <v>120.0</v>
      </c>
      <c r="B121" s="27" t="s">
        <v>206</v>
      </c>
      <c r="C121" s="26" t="s">
        <v>9</v>
      </c>
      <c r="D121" s="26" t="s">
        <v>97</v>
      </c>
      <c r="E121" s="28">
        <v>2.0</v>
      </c>
    </row>
    <row r="122">
      <c r="A122" s="26">
        <v>121.0</v>
      </c>
      <c r="B122" s="27" t="s">
        <v>152</v>
      </c>
      <c r="C122" s="26" t="s">
        <v>51</v>
      </c>
      <c r="D122" s="26" t="s">
        <v>43</v>
      </c>
      <c r="E122" s="28">
        <v>2.0</v>
      </c>
    </row>
    <row r="123">
      <c r="A123" s="26">
        <v>122.0</v>
      </c>
      <c r="B123" s="27" t="s">
        <v>200</v>
      </c>
      <c r="C123" s="26" t="s">
        <v>72</v>
      </c>
      <c r="D123" s="26" t="s">
        <v>43</v>
      </c>
      <c r="E123" s="28">
        <v>2.0</v>
      </c>
    </row>
    <row r="124">
      <c r="A124" s="26">
        <v>123.0</v>
      </c>
      <c r="B124" s="27" t="s">
        <v>209</v>
      </c>
      <c r="C124" s="26" t="s">
        <v>49</v>
      </c>
      <c r="D124" s="26" t="s">
        <v>43</v>
      </c>
      <c r="E124" s="28">
        <v>2.0</v>
      </c>
    </row>
    <row r="125">
      <c r="A125" s="26">
        <v>124.0</v>
      </c>
      <c r="B125" s="27" t="s">
        <v>151</v>
      </c>
      <c r="C125" s="26" t="s">
        <v>67</v>
      </c>
      <c r="D125" s="26" t="s">
        <v>43</v>
      </c>
      <c r="E125" s="28">
        <v>2.0</v>
      </c>
    </row>
    <row r="126">
      <c r="A126" s="26">
        <v>125.0</v>
      </c>
      <c r="B126" s="27" t="s">
        <v>240</v>
      </c>
      <c r="C126" s="26" t="s">
        <v>75</v>
      </c>
      <c r="D126" s="26" t="s">
        <v>43</v>
      </c>
      <c r="E126" s="28">
        <v>2.0</v>
      </c>
    </row>
    <row r="127">
      <c r="A127" s="26">
        <v>126.0</v>
      </c>
      <c r="B127" s="27" t="s">
        <v>141</v>
      </c>
      <c r="C127" s="26" t="s">
        <v>47</v>
      </c>
      <c r="D127" s="26" t="s">
        <v>7</v>
      </c>
      <c r="E127" s="28">
        <v>2.0</v>
      </c>
    </row>
    <row r="128">
      <c r="A128" s="26">
        <v>127.0</v>
      </c>
      <c r="B128" s="27" t="s">
        <v>210</v>
      </c>
      <c r="C128" s="26" t="s">
        <v>60</v>
      </c>
      <c r="D128" s="26" t="s">
        <v>7</v>
      </c>
      <c r="E128" s="28">
        <v>2.0</v>
      </c>
    </row>
    <row r="129">
      <c r="A129" s="26">
        <v>128.0</v>
      </c>
      <c r="B129" s="27" t="s">
        <v>195</v>
      </c>
      <c r="C129" s="26" t="s">
        <v>75</v>
      </c>
      <c r="D129" s="26" t="s">
        <v>7</v>
      </c>
      <c r="E129" s="28">
        <v>2.0</v>
      </c>
    </row>
    <row r="130">
      <c r="A130" s="26">
        <v>129.0</v>
      </c>
      <c r="B130" s="27" t="s">
        <v>196</v>
      </c>
      <c r="C130" s="26" t="s">
        <v>72</v>
      </c>
      <c r="D130" s="26" t="s">
        <v>7</v>
      </c>
      <c r="E130" s="28">
        <v>2.0</v>
      </c>
    </row>
    <row r="131">
      <c r="A131" s="26">
        <v>130.0</v>
      </c>
      <c r="B131" s="27" t="s">
        <v>155</v>
      </c>
      <c r="C131" s="26" t="s">
        <v>32</v>
      </c>
      <c r="D131" s="26" t="s">
        <v>7</v>
      </c>
      <c r="E131" s="28">
        <v>2.0</v>
      </c>
    </row>
    <row r="132">
      <c r="A132" s="26">
        <v>131.0</v>
      </c>
      <c r="B132" s="27" t="s">
        <v>190</v>
      </c>
      <c r="C132" s="26" t="s">
        <v>77</v>
      </c>
      <c r="D132" s="26" t="s">
        <v>7</v>
      </c>
      <c r="E132" s="28">
        <v>2.0</v>
      </c>
    </row>
    <row r="133">
      <c r="A133" s="26">
        <v>132.0</v>
      </c>
      <c r="B133" s="27" t="s">
        <v>44</v>
      </c>
      <c r="C133" s="26" t="s">
        <v>45</v>
      </c>
      <c r="D133" s="26" t="s">
        <v>7</v>
      </c>
      <c r="E133" s="28">
        <v>2.0</v>
      </c>
    </row>
    <row r="134">
      <c r="A134" s="26">
        <v>133.0</v>
      </c>
      <c r="B134" s="27" t="s">
        <v>251</v>
      </c>
      <c r="C134" s="26" t="s">
        <v>88</v>
      </c>
      <c r="D134" s="26" t="s">
        <v>7</v>
      </c>
      <c r="E134" s="28">
        <v>2.0</v>
      </c>
    </row>
    <row r="135">
      <c r="A135" s="26">
        <v>134.0</v>
      </c>
      <c r="B135" s="27" t="s">
        <v>245</v>
      </c>
      <c r="C135" s="26" t="s">
        <v>34</v>
      </c>
      <c r="D135" s="26" t="s">
        <v>7</v>
      </c>
      <c r="E135" s="28">
        <v>2.0</v>
      </c>
    </row>
    <row r="136">
      <c r="A136" s="26">
        <v>135.0</v>
      </c>
      <c r="B136" s="27" t="s">
        <v>339</v>
      </c>
      <c r="C136" s="26" t="s">
        <v>21</v>
      </c>
      <c r="D136" s="26" t="s">
        <v>17</v>
      </c>
      <c r="E136" s="28">
        <v>2.0</v>
      </c>
    </row>
    <row r="137">
      <c r="A137" s="26">
        <v>136.0</v>
      </c>
      <c r="B137" s="27" t="s">
        <v>163</v>
      </c>
      <c r="C137" s="26" t="s">
        <v>23</v>
      </c>
      <c r="D137" s="26" t="s">
        <v>17</v>
      </c>
      <c r="E137" s="28">
        <v>2.0</v>
      </c>
    </row>
    <row r="138">
      <c r="A138" s="26">
        <v>137.0</v>
      </c>
      <c r="B138" s="27" t="s">
        <v>165</v>
      </c>
      <c r="C138" s="26" t="s">
        <v>49</v>
      </c>
      <c r="D138" s="26" t="s">
        <v>17</v>
      </c>
      <c r="E138" s="28">
        <v>2.0</v>
      </c>
    </row>
    <row r="139">
      <c r="A139" s="26">
        <v>138.0</v>
      </c>
      <c r="B139" s="27" t="s">
        <v>146</v>
      </c>
      <c r="C139" s="26" t="s">
        <v>13</v>
      </c>
      <c r="D139" s="26" t="s">
        <v>17</v>
      </c>
      <c r="E139" s="28">
        <v>2.0</v>
      </c>
    </row>
    <row r="140">
      <c r="A140" s="26">
        <v>139.0</v>
      </c>
      <c r="B140" s="27" t="s">
        <v>122</v>
      </c>
      <c r="C140" s="26" t="s">
        <v>123</v>
      </c>
      <c r="D140" s="26" t="s">
        <v>17</v>
      </c>
      <c r="E140" s="28">
        <v>2.0</v>
      </c>
    </row>
    <row r="141">
      <c r="A141" s="26">
        <v>140.0</v>
      </c>
      <c r="B141" s="27" t="s">
        <v>214</v>
      </c>
      <c r="C141" s="26" t="s">
        <v>9</v>
      </c>
      <c r="D141" s="26" t="s">
        <v>199</v>
      </c>
      <c r="E141" s="28">
        <v>1.0</v>
      </c>
    </row>
    <row r="142">
      <c r="A142" s="26">
        <v>141.0</v>
      </c>
      <c r="B142" s="27" t="s">
        <v>213</v>
      </c>
      <c r="C142" s="26" t="s">
        <v>60</v>
      </c>
      <c r="D142" s="26" t="s">
        <v>199</v>
      </c>
      <c r="E142" s="28">
        <v>1.0</v>
      </c>
    </row>
    <row r="143">
      <c r="A143" s="26">
        <v>142.0</v>
      </c>
      <c r="B143" s="27" t="s">
        <v>217</v>
      </c>
      <c r="C143" s="26" t="s">
        <v>88</v>
      </c>
      <c r="D143" s="26" t="s">
        <v>199</v>
      </c>
      <c r="E143" s="28">
        <v>1.0</v>
      </c>
    </row>
    <row r="144">
      <c r="A144" s="26">
        <v>143.0</v>
      </c>
      <c r="B144" s="27" t="s">
        <v>223</v>
      </c>
      <c r="C144" s="26" t="s">
        <v>34</v>
      </c>
      <c r="D144" s="26" t="s">
        <v>199</v>
      </c>
      <c r="E144" s="28">
        <v>1.0</v>
      </c>
    </row>
    <row r="145">
      <c r="A145" s="26">
        <v>144.0</v>
      </c>
      <c r="B145" s="27" t="s">
        <v>215</v>
      </c>
      <c r="C145" s="26" t="s">
        <v>32</v>
      </c>
      <c r="D145" s="26" t="s">
        <v>199</v>
      </c>
      <c r="E145" s="28">
        <v>1.0</v>
      </c>
    </row>
    <row r="146">
      <c r="A146" s="26">
        <v>145.0</v>
      </c>
      <c r="B146" s="27" t="s">
        <v>224</v>
      </c>
      <c r="C146" s="26" t="s">
        <v>63</v>
      </c>
      <c r="D146" s="26" t="s">
        <v>199</v>
      </c>
      <c r="E146" s="28">
        <v>1.0</v>
      </c>
    </row>
    <row r="147">
      <c r="A147" s="26">
        <v>146.0</v>
      </c>
      <c r="B147" s="27" t="s">
        <v>216</v>
      </c>
      <c r="C147" s="26" t="s">
        <v>26</v>
      </c>
      <c r="D147" s="26" t="s">
        <v>199</v>
      </c>
      <c r="E147" s="28">
        <v>1.0</v>
      </c>
    </row>
    <row r="148">
      <c r="A148" s="26">
        <v>147.0</v>
      </c>
      <c r="B148" s="27" t="s">
        <v>227</v>
      </c>
      <c r="C148" s="26" t="s">
        <v>41</v>
      </c>
      <c r="D148" s="26" t="s">
        <v>199</v>
      </c>
      <c r="E148" s="28">
        <v>1.0</v>
      </c>
    </row>
    <row r="149">
      <c r="A149" s="26">
        <v>148.0</v>
      </c>
      <c r="B149" s="27" t="s">
        <v>340</v>
      </c>
      <c r="C149" s="26" t="s">
        <v>6</v>
      </c>
      <c r="D149" s="26" t="s">
        <v>199</v>
      </c>
      <c r="E149" s="28">
        <v>1.0</v>
      </c>
    </row>
    <row r="150">
      <c r="A150" s="26">
        <v>149.0</v>
      </c>
      <c r="B150" s="27" t="s">
        <v>265</v>
      </c>
      <c r="C150" s="26" t="s">
        <v>11</v>
      </c>
      <c r="D150" s="26" t="s">
        <v>199</v>
      </c>
      <c r="E150" s="28">
        <v>1.0</v>
      </c>
    </row>
    <row r="151">
      <c r="A151" s="26">
        <v>150.0</v>
      </c>
      <c r="B151" s="27" t="s">
        <v>225</v>
      </c>
      <c r="C151" s="26" t="s">
        <v>21</v>
      </c>
      <c r="D151" s="26" t="s">
        <v>199</v>
      </c>
      <c r="E151" s="28">
        <v>1.0</v>
      </c>
    </row>
    <row r="152">
      <c r="A152" s="26">
        <v>151.0</v>
      </c>
      <c r="B152" s="27" t="s">
        <v>182</v>
      </c>
      <c r="C152" s="26" t="s">
        <v>83</v>
      </c>
      <c r="D152" s="26" t="s">
        <v>97</v>
      </c>
      <c r="E152" s="28">
        <v>1.0</v>
      </c>
    </row>
    <row r="153">
      <c r="A153" s="26">
        <v>152.0</v>
      </c>
      <c r="B153" s="27" t="s">
        <v>205</v>
      </c>
      <c r="C153" s="26" t="s">
        <v>13</v>
      </c>
      <c r="D153" s="26" t="s">
        <v>97</v>
      </c>
      <c r="E153" s="28">
        <v>1.0</v>
      </c>
    </row>
    <row r="154">
      <c r="A154" s="26">
        <v>153.0</v>
      </c>
      <c r="B154" s="27" t="s">
        <v>176</v>
      </c>
      <c r="C154" s="26" t="s">
        <v>28</v>
      </c>
      <c r="D154" s="26" t="s">
        <v>97</v>
      </c>
      <c r="E154" s="28">
        <v>1.0</v>
      </c>
    </row>
    <row r="155">
      <c r="A155" s="26">
        <v>154.0</v>
      </c>
      <c r="B155" s="27" t="s">
        <v>253</v>
      </c>
      <c r="C155" s="26" t="s">
        <v>53</v>
      </c>
      <c r="D155" s="26" t="s">
        <v>43</v>
      </c>
      <c r="E155" s="28">
        <v>1.0</v>
      </c>
    </row>
    <row r="156">
      <c r="A156" s="26">
        <v>155.0</v>
      </c>
      <c r="B156" s="27" t="s">
        <v>178</v>
      </c>
      <c r="C156" s="26" t="s">
        <v>39</v>
      </c>
      <c r="D156" s="26" t="s">
        <v>43</v>
      </c>
      <c r="E156" s="28">
        <v>1.0</v>
      </c>
    </row>
    <row r="157">
      <c r="A157" s="26">
        <v>156.0</v>
      </c>
      <c r="B157" s="27" t="s">
        <v>175</v>
      </c>
      <c r="C157" s="26" t="s">
        <v>70</v>
      </c>
      <c r="D157" s="26" t="s">
        <v>43</v>
      </c>
      <c r="E157" s="28">
        <v>1.0</v>
      </c>
    </row>
    <row r="158">
      <c r="A158" s="26">
        <v>157.0</v>
      </c>
      <c r="B158" s="27" t="s">
        <v>289</v>
      </c>
      <c r="C158" s="26" t="s">
        <v>11</v>
      </c>
      <c r="D158" s="26" t="s">
        <v>43</v>
      </c>
      <c r="E158" s="28">
        <v>1.0</v>
      </c>
    </row>
    <row r="159">
      <c r="A159" s="26">
        <v>158.0</v>
      </c>
      <c r="B159" s="27" t="s">
        <v>244</v>
      </c>
      <c r="C159" s="26" t="s">
        <v>70</v>
      </c>
      <c r="D159" s="26" t="s">
        <v>7</v>
      </c>
      <c r="E159" s="28">
        <v>1.0</v>
      </c>
    </row>
    <row r="160">
      <c r="A160" s="26">
        <v>159.0</v>
      </c>
      <c r="B160" s="27" t="s">
        <v>197</v>
      </c>
      <c r="C160" s="26" t="s">
        <v>77</v>
      </c>
      <c r="D160" s="26" t="s">
        <v>7</v>
      </c>
      <c r="E160" s="28">
        <v>1.0</v>
      </c>
    </row>
    <row r="161">
      <c r="A161" s="26">
        <v>160.0</v>
      </c>
      <c r="B161" s="27" t="s">
        <v>204</v>
      </c>
      <c r="C161" s="26" t="s">
        <v>47</v>
      </c>
      <c r="D161" s="26" t="s">
        <v>7</v>
      </c>
      <c r="E161" s="28">
        <v>1.0</v>
      </c>
    </row>
    <row r="162">
      <c r="A162" s="26">
        <v>161.0</v>
      </c>
      <c r="B162" s="27" t="s">
        <v>138</v>
      </c>
      <c r="C162" s="26" t="s">
        <v>67</v>
      </c>
      <c r="D162" s="26" t="s">
        <v>7</v>
      </c>
      <c r="E162" s="28">
        <v>1.0</v>
      </c>
    </row>
    <row r="163">
      <c r="A163" s="26">
        <v>162.0</v>
      </c>
      <c r="B163" s="27" t="s">
        <v>243</v>
      </c>
      <c r="C163" s="26" t="s">
        <v>26</v>
      </c>
      <c r="D163" s="26" t="s">
        <v>7</v>
      </c>
      <c r="E163" s="28">
        <v>1.0</v>
      </c>
    </row>
    <row r="164">
      <c r="A164" s="26">
        <v>163.0</v>
      </c>
      <c r="B164" s="27" t="s">
        <v>192</v>
      </c>
      <c r="C164" s="26" t="s">
        <v>53</v>
      </c>
      <c r="D164" s="26" t="s">
        <v>7</v>
      </c>
      <c r="E164" s="28">
        <v>1.0</v>
      </c>
    </row>
    <row r="165">
      <c r="A165" s="26">
        <v>164.0</v>
      </c>
      <c r="B165" s="27" t="s">
        <v>156</v>
      </c>
      <c r="C165" s="26" t="s">
        <v>83</v>
      </c>
      <c r="D165" s="26" t="s">
        <v>17</v>
      </c>
      <c r="E165" s="28">
        <v>1.0</v>
      </c>
    </row>
    <row r="166">
      <c r="A166" s="26">
        <v>165.0</v>
      </c>
      <c r="B166" s="27" t="s">
        <v>147</v>
      </c>
      <c r="C166" s="26" t="s">
        <v>65</v>
      </c>
      <c r="D166" s="26" t="s">
        <v>17</v>
      </c>
      <c r="E166" s="28">
        <v>1.0</v>
      </c>
    </row>
    <row r="167">
      <c r="A167" s="26">
        <v>166.0</v>
      </c>
      <c r="B167" s="27" t="s">
        <v>162</v>
      </c>
      <c r="C167" s="26" t="s">
        <v>21</v>
      </c>
      <c r="D167" s="26" t="s">
        <v>17</v>
      </c>
      <c r="E167" s="28">
        <v>1.0</v>
      </c>
    </row>
    <row r="168">
      <c r="A168" s="26">
        <v>167.0</v>
      </c>
      <c r="B168" s="27" t="s">
        <v>174</v>
      </c>
      <c r="C168" s="26" t="s">
        <v>45</v>
      </c>
      <c r="D168" s="26" t="s">
        <v>17</v>
      </c>
      <c r="E168" s="28">
        <v>1.0</v>
      </c>
    </row>
    <row r="169">
      <c r="A169" s="26">
        <v>168.0</v>
      </c>
      <c r="B169" s="27" t="s">
        <v>220</v>
      </c>
      <c r="C169" s="26" t="s">
        <v>15</v>
      </c>
      <c r="D169" s="26" t="s">
        <v>219</v>
      </c>
      <c r="E169" s="28">
        <v>1.0</v>
      </c>
    </row>
    <row r="170">
      <c r="A170" s="26">
        <v>169.0</v>
      </c>
      <c r="B170" s="27" t="s">
        <v>218</v>
      </c>
      <c r="C170" s="26" t="s">
        <v>9</v>
      </c>
      <c r="D170" s="26" t="s">
        <v>219</v>
      </c>
      <c r="E170" s="28">
        <v>1.0</v>
      </c>
    </row>
    <row r="171">
      <c r="A171" s="26">
        <v>170.0</v>
      </c>
      <c r="B171" s="27" t="s">
        <v>230</v>
      </c>
      <c r="C171" s="26" t="s">
        <v>6</v>
      </c>
      <c r="D171" s="26" t="s">
        <v>219</v>
      </c>
      <c r="E171" s="28">
        <v>1.0</v>
      </c>
    </row>
    <row r="172">
      <c r="A172" s="26">
        <v>171.0</v>
      </c>
      <c r="B172" s="27" t="s">
        <v>228</v>
      </c>
      <c r="C172" s="26" t="s">
        <v>23</v>
      </c>
      <c r="D172" s="26" t="s">
        <v>219</v>
      </c>
      <c r="E172" s="28">
        <v>1.0</v>
      </c>
    </row>
    <row r="173">
      <c r="A173" s="26">
        <v>172.0</v>
      </c>
      <c r="B173" s="27" t="s">
        <v>221</v>
      </c>
      <c r="C173" s="26" t="s">
        <v>88</v>
      </c>
      <c r="D173" s="26" t="s">
        <v>219</v>
      </c>
      <c r="E173" s="28">
        <v>1.0</v>
      </c>
    </row>
    <row r="174">
      <c r="A174" s="26">
        <v>173.0</v>
      </c>
      <c r="B174" s="27" t="s">
        <v>234</v>
      </c>
      <c r="C174" s="26" t="s">
        <v>28</v>
      </c>
      <c r="D174" s="26" t="s">
        <v>219</v>
      </c>
      <c r="E174" s="28">
        <v>1.0</v>
      </c>
    </row>
    <row r="175">
      <c r="A175" s="26">
        <v>174.0</v>
      </c>
      <c r="B175" s="27" t="s">
        <v>229</v>
      </c>
      <c r="C175" s="26" t="s">
        <v>21</v>
      </c>
      <c r="D175" s="26" t="s">
        <v>219</v>
      </c>
      <c r="E175" s="28">
        <v>1.0</v>
      </c>
    </row>
    <row r="176">
      <c r="A176" s="26">
        <v>175.0</v>
      </c>
      <c r="B176" s="27" t="s">
        <v>232</v>
      </c>
      <c r="C176" s="26" t="s">
        <v>60</v>
      </c>
      <c r="D176" s="26" t="s">
        <v>219</v>
      </c>
      <c r="E176" s="28">
        <v>1.0</v>
      </c>
    </row>
    <row r="177">
      <c r="A177" s="26">
        <v>176.0</v>
      </c>
      <c r="B177" s="27" t="s">
        <v>231</v>
      </c>
      <c r="C177" s="26" t="s">
        <v>72</v>
      </c>
      <c r="D177" s="26" t="s">
        <v>219</v>
      </c>
      <c r="E177" s="28">
        <v>1.0</v>
      </c>
    </row>
    <row r="178">
      <c r="A178" s="26">
        <v>177.0</v>
      </c>
      <c r="B178" s="27" t="s">
        <v>233</v>
      </c>
      <c r="C178" s="26" t="s">
        <v>77</v>
      </c>
      <c r="D178" s="26" t="s">
        <v>219</v>
      </c>
      <c r="E178" s="28">
        <v>1.0</v>
      </c>
    </row>
    <row r="179">
      <c r="A179" s="26">
        <v>178.0</v>
      </c>
      <c r="B179" s="27" t="s">
        <v>236</v>
      </c>
      <c r="C179" s="26" t="s">
        <v>41</v>
      </c>
      <c r="D179" s="26" t="s">
        <v>219</v>
      </c>
      <c r="E179" s="28">
        <v>1.0</v>
      </c>
    </row>
    <row r="180">
      <c r="A180" s="26">
        <v>179.0</v>
      </c>
      <c r="B180" s="27" t="s">
        <v>341</v>
      </c>
      <c r="C180" s="26" t="s">
        <v>47</v>
      </c>
      <c r="D180" s="26" t="s">
        <v>219</v>
      </c>
      <c r="E180" s="28">
        <v>1.0</v>
      </c>
    </row>
    <row r="181">
      <c r="A181" s="26">
        <v>180.0</v>
      </c>
      <c r="B181" s="27" t="s">
        <v>333</v>
      </c>
      <c r="C181" s="26" t="s">
        <v>65</v>
      </c>
      <c r="D181" s="26" t="s">
        <v>199</v>
      </c>
      <c r="E181" s="28">
        <v>0.0</v>
      </c>
    </row>
    <row r="182">
      <c r="A182" s="26">
        <v>181.0</v>
      </c>
      <c r="B182" s="27" t="s">
        <v>222</v>
      </c>
      <c r="C182" s="26" t="s">
        <v>15</v>
      </c>
      <c r="D182" s="26" t="s">
        <v>199</v>
      </c>
      <c r="E182" s="28">
        <v>0.0</v>
      </c>
    </row>
    <row r="183">
      <c r="A183" s="26">
        <v>182.0</v>
      </c>
      <c r="B183" s="27" t="s">
        <v>342</v>
      </c>
      <c r="C183" s="26" t="s">
        <v>77</v>
      </c>
      <c r="D183" s="26" t="s">
        <v>199</v>
      </c>
      <c r="E183" s="28">
        <v>0.0</v>
      </c>
    </row>
    <row r="184">
      <c r="A184" s="26">
        <v>183.0</v>
      </c>
      <c r="B184" s="27" t="s">
        <v>343</v>
      </c>
      <c r="C184" s="26" t="s">
        <v>51</v>
      </c>
      <c r="D184" s="26" t="s">
        <v>199</v>
      </c>
      <c r="E184" s="28">
        <v>0.0</v>
      </c>
    </row>
    <row r="185">
      <c r="A185" s="26">
        <v>184.0</v>
      </c>
      <c r="B185" s="27" t="s">
        <v>344</v>
      </c>
      <c r="C185" s="26" t="s">
        <v>28</v>
      </c>
      <c r="D185" s="26" t="s">
        <v>199</v>
      </c>
      <c r="E185" s="28">
        <v>0.0</v>
      </c>
    </row>
    <row r="186">
      <c r="A186" s="26">
        <v>185.0</v>
      </c>
      <c r="B186" s="27" t="s">
        <v>327</v>
      </c>
      <c r="C186" s="26" t="s">
        <v>47</v>
      </c>
      <c r="D186" s="26" t="s">
        <v>199</v>
      </c>
      <c r="E186" s="28">
        <v>0.0</v>
      </c>
    </row>
    <row r="187">
      <c r="A187" s="26">
        <v>186.0</v>
      </c>
      <c r="B187" s="27" t="s">
        <v>294</v>
      </c>
      <c r="C187" s="26" t="s">
        <v>23</v>
      </c>
      <c r="D187" s="26" t="s">
        <v>199</v>
      </c>
      <c r="E187" s="28">
        <v>0.0</v>
      </c>
    </row>
    <row r="188">
      <c r="A188" s="26">
        <v>187.0</v>
      </c>
      <c r="B188" s="27" t="s">
        <v>226</v>
      </c>
      <c r="C188" s="26" t="s">
        <v>83</v>
      </c>
      <c r="D188" s="26" t="s">
        <v>199</v>
      </c>
      <c r="E188" s="28">
        <v>0.0</v>
      </c>
    </row>
    <row r="189">
      <c r="A189" s="26">
        <v>188.0</v>
      </c>
      <c r="B189" s="27" t="s">
        <v>264</v>
      </c>
      <c r="C189" s="26" t="s">
        <v>123</v>
      </c>
      <c r="D189" s="26" t="s">
        <v>199</v>
      </c>
      <c r="E189" s="28">
        <v>0.0</v>
      </c>
    </row>
    <row r="190">
      <c r="A190" s="26">
        <v>189.0</v>
      </c>
      <c r="B190" s="27" t="s">
        <v>345</v>
      </c>
      <c r="C190" s="26" t="s">
        <v>70</v>
      </c>
      <c r="D190" s="26" t="s">
        <v>199</v>
      </c>
      <c r="E190" s="28">
        <v>0.0</v>
      </c>
    </row>
    <row r="191">
      <c r="A191" s="26">
        <v>190.0</v>
      </c>
      <c r="B191" s="27" t="s">
        <v>346</v>
      </c>
      <c r="C191" s="26" t="s">
        <v>49</v>
      </c>
      <c r="D191" s="26" t="s">
        <v>199</v>
      </c>
      <c r="E191" s="28">
        <v>0.0</v>
      </c>
    </row>
    <row r="192">
      <c r="A192" s="26">
        <v>191.0</v>
      </c>
      <c r="B192" s="27" t="s">
        <v>347</v>
      </c>
      <c r="C192" s="26" t="s">
        <v>13</v>
      </c>
      <c r="D192" s="26" t="s">
        <v>199</v>
      </c>
      <c r="E192" s="28">
        <v>0.0</v>
      </c>
    </row>
    <row r="193">
      <c r="A193" s="26">
        <v>192.0</v>
      </c>
      <c r="B193" s="27" t="s">
        <v>348</v>
      </c>
      <c r="C193" s="26" t="s">
        <v>39</v>
      </c>
      <c r="D193" s="26" t="s">
        <v>199</v>
      </c>
      <c r="E193" s="28">
        <v>0.0</v>
      </c>
    </row>
    <row r="194">
      <c r="A194" s="26">
        <v>193.0</v>
      </c>
      <c r="B194" s="27" t="s">
        <v>349</v>
      </c>
      <c r="C194" s="26" t="s">
        <v>45</v>
      </c>
      <c r="D194" s="26" t="s">
        <v>199</v>
      </c>
      <c r="E194" s="28">
        <v>0.0</v>
      </c>
    </row>
    <row r="195">
      <c r="A195" s="26">
        <v>194.0</v>
      </c>
      <c r="B195" s="27" t="s">
        <v>350</v>
      </c>
      <c r="C195" s="26" t="s">
        <v>19</v>
      </c>
      <c r="D195" s="26" t="s">
        <v>199</v>
      </c>
      <c r="E195" s="28">
        <v>0.0</v>
      </c>
    </row>
    <row r="196">
      <c r="A196" s="26">
        <v>195.0</v>
      </c>
      <c r="B196" s="27" t="s">
        <v>351</v>
      </c>
      <c r="C196" s="26" t="s">
        <v>95</v>
      </c>
      <c r="D196" s="26" t="s">
        <v>199</v>
      </c>
      <c r="E196" s="28">
        <v>0.0</v>
      </c>
    </row>
    <row r="197">
      <c r="A197" s="26">
        <v>196.0</v>
      </c>
      <c r="B197" s="27" t="s">
        <v>328</v>
      </c>
      <c r="C197" s="26" t="s">
        <v>72</v>
      </c>
      <c r="D197" s="26" t="s">
        <v>199</v>
      </c>
      <c r="E197" s="28">
        <v>0.0</v>
      </c>
    </row>
    <row r="198">
      <c r="A198" s="26">
        <v>197.0</v>
      </c>
      <c r="B198" s="27" t="s">
        <v>352</v>
      </c>
      <c r="C198" s="26" t="s">
        <v>75</v>
      </c>
      <c r="D198" s="26" t="s">
        <v>199</v>
      </c>
      <c r="E198" s="28">
        <v>0.0</v>
      </c>
    </row>
    <row r="199">
      <c r="A199" s="26">
        <v>198.0</v>
      </c>
      <c r="B199" s="27" t="s">
        <v>353</v>
      </c>
      <c r="C199" s="26" t="s">
        <v>67</v>
      </c>
      <c r="D199" s="26" t="s">
        <v>199</v>
      </c>
      <c r="E199" s="28">
        <v>0.0</v>
      </c>
    </row>
    <row r="200">
      <c r="A200" s="26">
        <v>199.0</v>
      </c>
      <c r="B200" s="27" t="s">
        <v>354</v>
      </c>
      <c r="C200" s="26" t="s">
        <v>53</v>
      </c>
      <c r="D200" s="26" t="s">
        <v>199</v>
      </c>
      <c r="E200" s="28">
        <v>0.0</v>
      </c>
    </row>
    <row r="201">
      <c r="A201" s="26">
        <v>200.0</v>
      </c>
      <c r="B201" s="27" t="s">
        <v>302</v>
      </c>
      <c r="C201" s="26" t="s">
        <v>30</v>
      </c>
      <c r="D201" s="26" t="s">
        <v>97</v>
      </c>
      <c r="E201" s="28">
        <v>0.0</v>
      </c>
    </row>
    <row r="202">
      <c r="A202" s="26">
        <v>201.0</v>
      </c>
      <c r="B202" s="27" t="s">
        <v>263</v>
      </c>
      <c r="C202" s="26" t="s">
        <v>45</v>
      </c>
      <c r="D202" s="26" t="s">
        <v>97</v>
      </c>
      <c r="E202" s="28">
        <v>0.0</v>
      </c>
    </row>
    <row r="203">
      <c r="A203" s="26">
        <v>202.0</v>
      </c>
      <c r="B203" s="27" t="s">
        <v>288</v>
      </c>
      <c r="C203" s="26" t="s">
        <v>75</v>
      </c>
      <c r="D203" s="26" t="s">
        <v>97</v>
      </c>
      <c r="E203" s="28">
        <v>0.0</v>
      </c>
    </row>
    <row r="204">
      <c r="A204" s="26">
        <v>203.0</v>
      </c>
      <c r="B204" s="27" t="s">
        <v>262</v>
      </c>
      <c r="C204" s="26" t="s">
        <v>39</v>
      </c>
      <c r="D204" s="26" t="s">
        <v>97</v>
      </c>
      <c r="E204" s="28">
        <v>0.0</v>
      </c>
    </row>
    <row r="205">
      <c r="A205" s="26">
        <v>204.0</v>
      </c>
      <c r="B205" s="27" t="s">
        <v>301</v>
      </c>
      <c r="C205" s="26" t="s">
        <v>63</v>
      </c>
      <c r="D205" s="26" t="s">
        <v>97</v>
      </c>
      <c r="E205" s="28">
        <v>0.0</v>
      </c>
    </row>
    <row r="206">
      <c r="A206" s="26">
        <v>205.0</v>
      </c>
      <c r="B206" s="27" t="s">
        <v>286</v>
      </c>
      <c r="C206" s="26" t="s">
        <v>19</v>
      </c>
      <c r="D206" s="26" t="s">
        <v>97</v>
      </c>
      <c r="E206" s="28">
        <v>0.0</v>
      </c>
    </row>
    <row r="207">
      <c r="A207" s="26">
        <v>206.0</v>
      </c>
      <c r="B207" s="27" t="s">
        <v>355</v>
      </c>
      <c r="C207" s="26" t="s">
        <v>51</v>
      </c>
      <c r="D207" s="26" t="s">
        <v>97</v>
      </c>
      <c r="E207" s="28">
        <v>0.0</v>
      </c>
    </row>
    <row r="208">
      <c r="A208" s="26">
        <v>207.0</v>
      </c>
      <c r="B208" s="27" t="s">
        <v>287</v>
      </c>
      <c r="C208" s="26" t="s">
        <v>49</v>
      </c>
      <c r="D208" s="26" t="s">
        <v>97</v>
      </c>
      <c r="E208" s="28">
        <v>0.0</v>
      </c>
    </row>
    <row r="209">
      <c r="A209" s="26">
        <v>208.0</v>
      </c>
      <c r="B209" s="27" t="s">
        <v>255</v>
      </c>
      <c r="C209" s="26" t="s">
        <v>67</v>
      </c>
      <c r="D209" s="26" t="s">
        <v>97</v>
      </c>
      <c r="E209" s="28">
        <v>0.0</v>
      </c>
    </row>
    <row r="210">
      <c r="A210" s="26">
        <v>209.0</v>
      </c>
      <c r="B210" s="27" t="s">
        <v>303</v>
      </c>
      <c r="C210" s="26" t="s">
        <v>88</v>
      </c>
      <c r="D210" s="26" t="s">
        <v>97</v>
      </c>
      <c r="E210" s="28">
        <v>0.0</v>
      </c>
    </row>
    <row r="211">
      <c r="A211" s="26">
        <v>210.0</v>
      </c>
      <c r="B211" s="27" t="s">
        <v>316</v>
      </c>
      <c r="C211" s="26" t="s">
        <v>95</v>
      </c>
      <c r="D211" s="26" t="s">
        <v>97</v>
      </c>
      <c r="E211" s="28">
        <v>0.0</v>
      </c>
    </row>
    <row r="212">
      <c r="A212" s="26">
        <v>211.0</v>
      </c>
      <c r="B212" s="27" t="s">
        <v>322</v>
      </c>
      <c r="C212" s="26" t="s">
        <v>70</v>
      </c>
      <c r="D212" s="26" t="s">
        <v>97</v>
      </c>
      <c r="E212" s="28">
        <v>0.0</v>
      </c>
    </row>
    <row r="213">
      <c r="A213" s="26">
        <v>212.0</v>
      </c>
      <c r="B213" s="27" t="s">
        <v>304</v>
      </c>
      <c r="C213" s="26" t="s">
        <v>11</v>
      </c>
      <c r="D213" s="26" t="s">
        <v>97</v>
      </c>
      <c r="E213" s="28">
        <v>0.0</v>
      </c>
    </row>
    <row r="214">
      <c r="A214" s="26">
        <v>213.0</v>
      </c>
      <c r="B214" s="27" t="s">
        <v>241</v>
      </c>
      <c r="C214" s="26" t="s">
        <v>6</v>
      </c>
      <c r="D214" s="26" t="s">
        <v>43</v>
      </c>
      <c r="E214" s="28">
        <v>0.0</v>
      </c>
    </row>
    <row r="215">
      <c r="A215" s="26">
        <v>214.0</v>
      </c>
      <c r="B215" s="27" t="s">
        <v>254</v>
      </c>
      <c r="C215" s="26" t="s">
        <v>49</v>
      </c>
      <c r="D215" s="26" t="s">
        <v>43</v>
      </c>
      <c r="E215" s="28">
        <v>0.0</v>
      </c>
    </row>
    <row r="216">
      <c r="A216" s="26">
        <v>215.0</v>
      </c>
      <c r="B216" s="27" t="s">
        <v>242</v>
      </c>
      <c r="C216" s="26" t="s">
        <v>21</v>
      </c>
      <c r="D216" s="26" t="s">
        <v>43</v>
      </c>
      <c r="E216" s="28">
        <v>0.0</v>
      </c>
    </row>
    <row r="217">
      <c r="A217" s="26">
        <v>216.0</v>
      </c>
      <c r="B217" s="27" t="s">
        <v>290</v>
      </c>
      <c r="C217" s="26" t="s">
        <v>23</v>
      </c>
      <c r="D217" s="26" t="s">
        <v>43</v>
      </c>
      <c r="E217" s="28">
        <v>0.0</v>
      </c>
    </row>
    <row r="218">
      <c r="A218" s="26">
        <v>217.0</v>
      </c>
      <c r="B218" s="27" t="s">
        <v>207</v>
      </c>
      <c r="C218" s="26" t="s">
        <v>30</v>
      </c>
      <c r="D218" s="26" t="s">
        <v>43</v>
      </c>
      <c r="E218" s="28">
        <v>0.0</v>
      </c>
    </row>
    <row r="219">
      <c r="A219" s="26">
        <v>218.0</v>
      </c>
      <c r="B219" s="27" t="s">
        <v>298</v>
      </c>
      <c r="C219" s="26" t="s">
        <v>88</v>
      </c>
      <c r="D219" s="26" t="s">
        <v>43</v>
      </c>
      <c r="E219" s="28">
        <v>0.0</v>
      </c>
    </row>
    <row r="220">
      <c r="A220" s="26">
        <v>219.0</v>
      </c>
      <c r="B220" s="27" t="s">
        <v>311</v>
      </c>
      <c r="C220" s="26" t="s">
        <v>123</v>
      </c>
      <c r="D220" s="26" t="s">
        <v>43</v>
      </c>
      <c r="E220" s="28">
        <v>0.0</v>
      </c>
    </row>
    <row r="221">
      <c r="A221" s="26">
        <v>220.0</v>
      </c>
      <c r="B221" s="27" t="s">
        <v>291</v>
      </c>
      <c r="C221" s="26" t="s">
        <v>45</v>
      </c>
      <c r="D221" s="26" t="s">
        <v>43</v>
      </c>
      <c r="E221" s="28">
        <v>0.0</v>
      </c>
    </row>
    <row r="222">
      <c r="A222" s="26">
        <v>221.0</v>
      </c>
      <c r="B222" s="27" t="s">
        <v>278</v>
      </c>
      <c r="C222" s="26" t="s">
        <v>30</v>
      </c>
      <c r="D222" s="26" t="s">
        <v>7</v>
      </c>
      <c r="E222" s="28">
        <v>0.0</v>
      </c>
    </row>
    <row r="223">
      <c r="A223" s="26">
        <v>222.0</v>
      </c>
      <c r="B223" s="27" t="s">
        <v>194</v>
      </c>
      <c r="C223" s="26" t="s">
        <v>123</v>
      </c>
      <c r="D223" s="26" t="s">
        <v>7</v>
      </c>
      <c r="E223" s="28">
        <v>0.0</v>
      </c>
    </row>
    <row r="224">
      <c r="A224" s="26">
        <v>223.0</v>
      </c>
      <c r="B224" s="27" t="s">
        <v>356</v>
      </c>
      <c r="C224" s="26" t="s">
        <v>123</v>
      </c>
      <c r="D224" s="26" t="s">
        <v>7</v>
      </c>
      <c r="E224" s="28">
        <v>0.0</v>
      </c>
    </row>
    <row r="225">
      <c r="A225" s="26">
        <v>224.0</v>
      </c>
      <c r="B225" s="27" t="s">
        <v>237</v>
      </c>
      <c r="C225" s="26" t="s">
        <v>88</v>
      </c>
      <c r="D225" s="26" t="s">
        <v>7</v>
      </c>
      <c r="E225" s="28">
        <v>0.0</v>
      </c>
    </row>
    <row r="226">
      <c r="A226" s="26">
        <v>225.0</v>
      </c>
      <c r="B226" s="27" t="s">
        <v>239</v>
      </c>
      <c r="C226" s="26" t="s">
        <v>60</v>
      </c>
      <c r="D226" s="26" t="s">
        <v>7</v>
      </c>
      <c r="E226" s="28">
        <v>0.0</v>
      </c>
    </row>
    <row r="227">
      <c r="A227" s="26">
        <v>226.0</v>
      </c>
      <c r="B227" s="27" t="s">
        <v>154</v>
      </c>
      <c r="C227" s="26" t="s">
        <v>53</v>
      </c>
      <c r="D227" s="26" t="s">
        <v>7</v>
      </c>
      <c r="E227" s="28">
        <v>0.0</v>
      </c>
    </row>
    <row r="228">
      <c r="A228" s="26">
        <v>227.0</v>
      </c>
      <c r="B228" s="27" t="s">
        <v>246</v>
      </c>
      <c r="C228" s="26" t="s">
        <v>28</v>
      </c>
      <c r="D228" s="26" t="s">
        <v>7</v>
      </c>
      <c r="E228" s="28">
        <v>0.0</v>
      </c>
    </row>
    <row r="229">
      <c r="A229" s="26">
        <v>228.0</v>
      </c>
      <c r="B229" s="27" t="s">
        <v>357</v>
      </c>
      <c r="C229" s="26" t="s">
        <v>123</v>
      </c>
      <c r="D229" s="26" t="s">
        <v>7</v>
      </c>
      <c r="E229" s="28">
        <v>0.0</v>
      </c>
    </row>
    <row r="230">
      <c r="A230" s="26">
        <v>229.0</v>
      </c>
      <c r="B230" s="27" t="s">
        <v>293</v>
      </c>
      <c r="C230" s="26" t="s">
        <v>19</v>
      </c>
      <c r="D230" s="26" t="s">
        <v>7</v>
      </c>
      <c r="E230" s="28">
        <v>0.0</v>
      </c>
    </row>
    <row r="231">
      <c r="A231" s="26">
        <v>230.0</v>
      </c>
      <c r="B231" s="27" t="s">
        <v>252</v>
      </c>
      <c r="C231" s="26" t="s">
        <v>13</v>
      </c>
      <c r="D231" s="26" t="s">
        <v>7</v>
      </c>
      <c r="E231" s="28">
        <v>0.0</v>
      </c>
    </row>
    <row r="232">
      <c r="A232" s="26">
        <v>231.0</v>
      </c>
      <c r="B232" s="27" t="s">
        <v>247</v>
      </c>
      <c r="C232" s="26" t="s">
        <v>11</v>
      </c>
      <c r="D232" s="26" t="s">
        <v>7</v>
      </c>
      <c r="E232" s="28">
        <v>0.0</v>
      </c>
    </row>
    <row r="233">
      <c r="A233" s="26">
        <v>232.0</v>
      </c>
      <c r="B233" s="27" t="s">
        <v>281</v>
      </c>
      <c r="C233" s="26" t="s">
        <v>30</v>
      </c>
      <c r="D233" s="26" t="s">
        <v>7</v>
      </c>
      <c r="E233" s="28">
        <v>0.0</v>
      </c>
    </row>
    <row r="234">
      <c r="A234" s="26">
        <v>233.0</v>
      </c>
      <c r="B234" s="27" t="s">
        <v>250</v>
      </c>
      <c r="C234" s="26" t="s">
        <v>19</v>
      </c>
      <c r="D234" s="26" t="s">
        <v>7</v>
      </c>
      <c r="E234" s="28">
        <v>0.0</v>
      </c>
    </row>
    <row r="235">
      <c r="A235" s="26">
        <v>234.0</v>
      </c>
      <c r="B235" s="27" t="s">
        <v>358</v>
      </c>
      <c r="C235" s="26" t="s">
        <v>172</v>
      </c>
      <c r="D235" s="26" t="s">
        <v>7</v>
      </c>
      <c r="E235" s="28">
        <v>0.0</v>
      </c>
    </row>
    <row r="236">
      <c r="A236" s="26">
        <v>235.0</v>
      </c>
      <c r="B236" s="27" t="s">
        <v>280</v>
      </c>
      <c r="C236" s="26" t="s">
        <v>65</v>
      </c>
      <c r="D236" s="26" t="s">
        <v>7</v>
      </c>
      <c r="E236" s="28">
        <v>0.0</v>
      </c>
    </row>
    <row r="237">
      <c r="A237" s="26">
        <v>236.0</v>
      </c>
      <c r="B237" s="27" t="s">
        <v>359</v>
      </c>
      <c r="C237" s="26" t="s">
        <v>75</v>
      </c>
      <c r="D237" s="26" t="s">
        <v>7</v>
      </c>
      <c r="E237" s="28">
        <v>0.0</v>
      </c>
    </row>
    <row r="238">
      <c r="A238" s="26">
        <v>237.0</v>
      </c>
      <c r="B238" s="27" t="s">
        <v>282</v>
      </c>
      <c r="C238" s="26" t="s">
        <v>26</v>
      </c>
      <c r="D238" s="26" t="s">
        <v>7</v>
      </c>
      <c r="E238" s="28">
        <v>0.0</v>
      </c>
    </row>
    <row r="239">
      <c r="A239" s="26">
        <v>238.0</v>
      </c>
      <c r="B239" s="27" t="s">
        <v>285</v>
      </c>
      <c r="C239" s="26" t="s">
        <v>49</v>
      </c>
      <c r="D239" s="26" t="s">
        <v>7</v>
      </c>
      <c r="E239" s="28">
        <v>0.0</v>
      </c>
    </row>
    <row r="240">
      <c r="A240" s="26">
        <v>239.0</v>
      </c>
      <c r="B240" s="27" t="s">
        <v>360</v>
      </c>
      <c r="C240" s="26" t="s">
        <v>70</v>
      </c>
      <c r="D240" s="26" t="s">
        <v>7</v>
      </c>
      <c r="E240" s="28">
        <v>0.0</v>
      </c>
    </row>
    <row r="241">
      <c r="A241" s="26">
        <v>240.0</v>
      </c>
      <c r="B241" s="27" t="s">
        <v>249</v>
      </c>
      <c r="C241" s="26" t="s">
        <v>95</v>
      </c>
      <c r="D241" s="26" t="s">
        <v>7</v>
      </c>
      <c r="E241" s="28">
        <v>0.0</v>
      </c>
    </row>
    <row r="242">
      <c r="A242" s="26">
        <v>241.0</v>
      </c>
      <c r="B242" s="27" t="s">
        <v>300</v>
      </c>
      <c r="C242" s="26" t="s">
        <v>6</v>
      </c>
      <c r="D242" s="26" t="s">
        <v>7</v>
      </c>
      <c r="E242" s="28">
        <v>0.0</v>
      </c>
    </row>
    <row r="243">
      <c r="A243" s="26">
        <v>242.0</v>
      </c>
      <c r="B243" s="27" t="s">
        <v>361</v>
      </c>
      <c r="C243" s="26" t="s">
        <v>72</v>
      </c>
      <c r="D243" s="26" t="s">
        <v>7</v>
      </c>
      <c r="E243" s="28">
        <v>0.0</v>
      </c>
    </row>
    <row r="244">
      <c r="A244" s="26">
        <v>243.0</v>
      </c>
      <c r="B244" s="27" t="s">
        <v>306</v>
      </c>
      <c r="C244" s="26" t="s">
        <v>63</v>
      </c>
      <c r="D244" s="26" t="s">
        <v>7</v>
      </c>
      <c r="E244" s="28">
        <v>0.0</v>
      </c>
    </row>
    <row r="245">
      <c r="A245" s="26">
        <v>244.0</v>
      </c>
      <c r="B245" s="27" t="s">
        <v>150</v>
      </c>
      <c r="C245" s="26" t="s">
        <v>15</v>
      </c>
      <c r="D245" s="26" t="s">
        <v>7</v>
      </c>
      <c r="E245" s="28">
        <v>0.0</v>
      </c>
    </row>
    <row r="246">
      <c r="A246" s="26">
        <v>245.0</v>
      </c>
      <c r="B246" s="27" t="s">
        <v>362</v>
      </c>
      <c r="C246" s="26" t="s">
        <v>21</v>
      </c>
      <c r="D246" s="26" t="s">
        <v>7</v>
      </c>
      <c r="E246" s="28">
        <v>0.0</v>
      </c>
    </row>
    <row r="247">
      <c r="A247" s="26">
        <v>246.0</v>
      </c>
      <c r="B247" s="27" t="s">
        <v>279</v>
      </c>
      <c r="C247" s="26" t="s">
        <v>9</v>
      </c>
      <c r="D247" s="26" t="s">
        <v>7</v>
      </c>
      <c r="E247" s="28">
        <v>0.0</v>
      </c>
    </row>
    <row r="248">
      <c r="A248" s="26">
        <v>247.0</v>
      </c>
      <c r="B248" s="27" t="s">
        <v>363</v>
      </c>
      <c r="C248" s="26" t="s">
        <v>53</v>
      </c>
      <c r="D248" s="26" t="s">
        <v>7</v>
      </c>
      <c r="E248" s="28">
        <v>0.0</v>
      </c>
    </row>
    <row r="249">
      <c r="A249" s="26">
        <v>248.0</v>
      </c>
      <c r="B249" s="27" t="s">
        <v>364</v>
      </c>
      <c r="C249" s="26" t="s">
        <v>172</v>
      </c>
      <c r="D249" s="26" t="s">
        <v>7</v>
      </c>
      <c r="E249" s="28">
        <v>0.0</v>
      </c>
    </row>
    <row r="250">
      <c r="A250" s="26">
        <v>249.0</v>
      </c>
      <c r="B250" s="27" t="s">
        <v>365</v>
      </c>
      <c r="C250" s="26" t="s">
        <v>9</v>
      </c>
      <c r="D250" s="26" t="s">
        <v>7</v>
      </c>
      <c r="E250" s="28">
        <v>0.0</v>
      </c>
    </row>
    <row r="251">
      <c r="A251" s="26">
        <v>250.0</v>
      </c>
      <c r="B251" s="27" t="s">
        <v>366</v>
      </c>
      <c r="C251" s="26" t="s">
        <v>123</v>
      </c>
      <c r="D251" s="26" t="s">
        <v>7</v>
      </c>
      <c r="E251" s="28">
        <v>0.0</v>
      </c>
    </row>
    <row r="252">
      <c r="A252" s="26">
        <v>251.0</v>
      </c>
      <c r="B252" s="27" t="s">
        <v>367</v>
      </c>
      <c r="C252" s="26" t="s">
        <v>6</v>
      </c>
      <c r="D252" s="26" t="s">
        <v>7</v>
      </c>
      <c r="E252" s="28">
        <v>0.0</v>
      </c>
    </row>
    <row r="253">
      <c r="A253" s="26">
        <v>252.0</v>
      </c>
      <c r="B253" s="27" t="s">
        <v>368</v>
      </c>
      <c r="C253" s="26" t="s">
        <v>39</v>
      </c>
      <c r="D253" s="26" t="s">
        <v>7</v>
      </c>
      <c r="E253" s="28">
        <v>0.0</v>
      </c>
    </row>
    <row r="254">
      <c r="A254" s="26">
        <v>253.0</v>
      </c>
      <c r="B254" s="27" t="s">
        <v>307</v>
      </c>
      <c r="C254" s="26" t="s">
        <v>45</v>
      </c>
      <c r="D254" s="26" t="s">
        <v>7</v>
      </c>
      <c r="E254" s="28">
        <v>0.0</v>
      </c>
    </row>
    <row r="255">
      <c r="A255" s="26">
        <v>254.0</v>
      </c>
      <c r="B255" s="27" t="s">
        <v>369</v>
      </c>
      <c r="C255" s="26" t="s">
        <v>21</v>
      </c>
      <c r="D255" s="26" t="s">
        <v>7</v>
      </c>
      <c r="E255" s="28">
        <v>0.0</v>
      </c>
    </row>
    <row r="256">
      <c r="A256" s="26">
        <v>255.0</v>
      </c>
      <c r="B256" s="27" t="s">
        <v>370</v>
      </c>
      <c r="C256" s="26" t="s">
        <v>53</v>
      </c>
      <c r="D256" s="26" t="s">
        <v>7</v>
      </c>
      <c r="E256" s="28">
        <v>0.0</v>
      </c>
    </row>
    <row r="257">
      <c r="A257" s="26">
        <v>256.0</v>
      </c>
      <c r="B257" s="27" t="s">
        <v>299</v>
      </c>
      <c r="C257" s="26" t="s">
        <v>72</v>
      </c>
      <c r="D257" s="26" t="s">
        <v>7</v>
      </c>
      <c r="E257" s="28">
        <v>0.0</v>
      </c>
    </row>
    <row r="258">
      <c r="A258" s="26">
        <v>257.0</v>
      </c>
      <c r="B258" s="27" t="s">
        <v>371</v>
      </c>
      <c r="C258" s="26" t="s">
        <v>41</v>
      </c>
      <c r="D258" s="26" t="s">
        <v>7</v>
      </c>
      <c r="E258" s="28">
        <v>0.0</v>
      </c>
    </row>
    <row r="259">
      <c r="A259" s="26">
        <v>258.0</v>
      </c>
      <c r="B259" s="27" t="s">
        <v>173</v>
      </c>
      <c r="C259" s="26" t="s">
        <v>39</v>
      </c>
      <c r="D259" s="26" t="s">
        <v>17</v>
      </c>
      <c r="E259" s="28">
        <v>0.0</v>
      </c>
    </row>
    <row r="260">
      <c r="A260" s="26">
        <v>259.0</v>
      </c>
      <c r="B260" s="27" t="s">
        <v>164</v>
      </c>
      <c r="C260" s="26" t="s">
        <v>41</v>
      </c>
      <c r="D260" s="26" t="s">
        <v>17</v>
      </c>
      <c r="E260" s="28">
        <v>0.0</v>
      </c>
    </row>
    <row r="261">
      <c r="A261" s="26">
        <v>260.0</v>
      </c>
      <c r="B261" s="27" t="s">
        <v>208</v>
      </c>
      <c r="C261" s="26" t="s">
        <v>30</v>
      </c>
      <c r="D261" s="26" t="s">
        <v>17</v>
      </c>
      <c r="E261" s="28">
        <v>0.0</v>
      </c>
    </row>
    <row r="262">
      <c r="A262" s="26">
        <v>261.0</v>
      </c>
      <c r="B262" s="27" t="s">
        <v>212</v>
      </c>
      <c r="C262" s="26" t="s">
        <v>75</v>
      </c>
      <c r="D262" s="26" t="s">
        <v>17</v>
      </c>
      <c r="E262" s="28">
        <v>0.0</v>
      </c>
    </row>
    <row r="263">
      <c r="A263" s="26">
        <v>262.0</v>
      </c>
      <c r="B263" s="27" t="s">
        <v>202</v>
      </c>
      <c r="C263" s="26" t="s">
        <v>60</v>
      </c>
      <c r="D263" s="26" t="s">
        <v>17</v>
      </c>
      <c r="E263" s="28">
        <v>0.0</v>
      </c>
    </row>
    <row r="264">
      <c r="A264" s="26">
        <v>263.0</v>
      </c>
      <c r="B264" s="27" t="s">
        <v>257</v>
      </c>
      <c r="C264" s="26" t="s">
        <v>95</v>
      </c>
      <c r="D264" s="26" t="s">
        <v>17</v>
      </c>
      <c r="E264" s="28">
        <v>0.0</v>
      </c>
    </row>
    <row r="265">
      <c r="A265" s="26">
        <v>264.0</v>
      </c>
      <c r="B265" s="27" t="s">
        <v>372</v>
      </c>
      <c r="C265" s="26" t="s">
        <v>172</v>
      </c>
      <c r="D265" s="26" t="s">
        <v>17</v>
      </c>
      <c r="E265" s="28">
        <v>0.0</v>
      </c>
    </row>
    <row r="266">
      <c r="A266" s="26">
        <v>265.0</v>
      </c>
      <c r="B266" s="27" t="s">
        <v>170</v>
      </c>
      <c r="C266" s="26" t="s">
        <v>23</v>
      </c>
      <c r="D266" s="26" t="s">
        <v>17</v>
      </c>
      <c r="E266" s="28">
        <v>0.0</v>
      </c>
    </row>
    <row r="267">
      <c r="A267" s="26">
        <v>266.0</v>
      </c>
      <c r="B267" s="27" t="s">
        <v>203</v>
      </c>
      <c r="C267" s="26" t="s">
        <v>88</v>
      </c>
      <c r="D267" s="26" t="s">
        <v>17</v>
      </c>
      <c r="E267" s="28">
        <v>0.0</v>
      </c>
    </row>
    <row r="268">
      <c r="A268" s="26">
        <v>267.0</v>
      </c>
      <c r="B268" s="27" t="s">
        <v>157</v>
      </c>
      <c r="C268" s="26" t="s">
        <v>123</v>
      </c>
      <c r="D268" s="26" t="s">
        <v>17</v>
      </c>
      <c r="E268" s="28">
        <v>0.0</v>
      </c>
    </row>
    <row r="269">
      <c r="A269" s="26">
        <v>268.0</v>
      </c>
      <c r="B269" s="27" t="s">
        <v>166</v>
      </c>
      <c r="C269" s="26" t="s">
        <v>49</v>
      </c>
      <c r="D269" s="26" t="s">
        <v>17</v>
      </c>
      <c r="E269" s="28">
        <v>0.0</v>
      </c>
    </row>
    <row r="270">
      <c r="A270" s="26">
        <v>269.0</v>
      </c>
      <c r="B270" s="27" t="s">
        <v>276</v>
      </c>
      <c r="C270" s="26" t="s">
        <v>95</v>
      </c>
      <c r="D270" s="26" t="s">
        <v>17</v>
      </c>
      <c r="E270" s="28">
        <v>0.0</v>
      </c>
    </row>
    <row r="271">
      <c r="A271" s="26">
        <v>270.0</v>
      </c>
      <c r="B271" s="27" t="s">
        <v>275</v>
      </c>
      <c r="C271" s="26" t="s">
        <v>53</v>
      </c>
      <c r="D271" s="26" t="s">
        <v>17</v>
      </c>
      <c r="E271" s="28">
        <v>0.0</v>
      </c>
    </row>
    <row r="272">
      <c r="A272" s="26">
        <v>271.0</v>
      </c>
      <c r="B272" s="27" t="s">
        <v>273</v>
      </c>
      <c r="C272" s="26" t="s">
        <v>34</v>
      </c>
      <c r="D272" s="26" t="s">
        <v>17</v>
      </c>
      <c r="E272" s="28">
        <v>0.0</v>
      </c>
    </row>
    <row r="273">
      <c r="A273" s="26">
        <v>272.0</v>
      </c>
      <c r="B273" s="27" t="s">
        <v>373</v>
      </c>
      <c r="C273" s="26" t="s">
        <v>45</v>
      </c>
      <c r="D273" s="26" t="s">
        <v>17</v>
      </c>
      <c r="E273" s="28">
        <v>0.0</v>
      </c>
    </row>
    <row r="274">
      <c r="A274" s="26">
        <v>273.0</v>
      </c>
      <c r="B274" s="27" t="s">
        <v>261</v>
      </c>
      <c r="C274" s="26" t="s">
        <v>13</v>
      </c>
      <c r="D274" s="26" t="s">
        <v>17</v>
      </c>
      <c r="E274" s="28">
        <v>0.0</v>
      </c>
    </row>
    <row r="275">
      <c r="A275" s="26">
        <v>274.0</v>
      </c>
      <c r="B275" s="27" t="s">
        <v>183</v>
      </c>
      <c r="C275" s="26" t="s">
        <v>51</v>
      </c>
      <c r="D275" s="26" t="s">
        <v>17</v>
      </c>
      <c r="E275" s="28">
        <v>0.0</v>
      </c>
    </row>
    <row r="276">
      <c r="A276" s="26">
        <v>275.0</v>
      </c>
      <c r="B276" s="27" t="s">
        <v>186</v>
      </c>
      <c r="C276" s="26" t="s">
        <v>63</v>
      </c>
      <c r="D276" s="26" t="s">
        <v>17</v>
      </c>
      <c r="E276" s="28">
        <v>0.0</v>
      </c>
    </row>
    <row r="277">
      <c r="A277" s="26">
        <v>276.0</v>
      </c>
      <c r="B277" s="27" t="s">
        <v>374</v>
      </c>
      <c r="C277" s="26" t="s">
        <v>172</v>
      </c>
      <c r="D277" s="26" t="s">
        <v>17</v>
      </c>
      <c r="E277" s="28">
        <v>0.0</v>
      </c>
    </row>
    <row r="278">
      <c r="A278" s="26">
        <v>277.0</v>
      </c>
      <c r="B278" s="27" t="s">
        <v>375</v>
      </c>
      <c r="C278" s="26" t="s">
        <v>70</v>
      </c>
      <c r="D278" s="26" t="s">
        <v>17</v>
      </c>
      <c r="E278" s="28">
        <v>0.0</v>
      </c>
    </row>
    <row r="279">
      <c r="A279" s="26">
        <v>278.0</v>
      </c>
      <c r="B279" s="27" t="s">
        <v>187</v>
      </c>
      <c r="C279" s="26" t="s">
        <v>34</v>
      </c>
      <c r="D279" s="26" t="s">
        <v>17</v>
      </c>
      <c r="E279" s="28">
        <v>0.0</v>
      </c>
    </row>
    <row r="280">
      <c r="A280" s="26">
        <v>279.0</v>
      </c>
      <c r="B280" s="27" t="s">
        <v>201</v>
      </c>
      <c r="C280" s="26" t="s">
        <v>11</v>
      </c>
      <c r="D280" s="26" t="s">
        <v>17</v>
      </c>
      <c r="E280" s="28">
        <v>0.0</v>
      </c>
    </row>
    <row r="281">
      <c r="A281" s="26">
        <v>280.0</v>
      </c>
      <c r="B281" s="27" t="s">
        <v>184</v>
      </c>
      <c r="C281" s="26" t="s">
        <v>6</v>
      </c>
      <c r="D281" s="26" t="s">
        <v>17</v>
      </c>
      <c r="E281" s="28">
        <v>0.0</v>
      </c>
    </row>
    <row r="282">
      <c r="A282" s="26">
        <v>281.0</v>
      </c>
      <c r="B282" s="27" t="s">
        <v>376</v>
      </c>
      <c r="C282" s="26" t="s">
        <v>47</v>
      </c>
      <c r="D282" s="26" t="s">
        <v>17</v>
      </c>
      <c r="E282" s="28">
        <v>0.0</v>
      </c>
    </row>
    <row r="283">
      <c r="A283" s="26">
        <v>282.0</v>
      </c>
      <c r="B283" s="27" t="s">
        <v>167</v>
      </c>
      <c r="C283" s="26" t="s">
        <v>13</v>
      </c>
      <c r="D283" s="26" t="s">
        <v>17</v>
      </c>
      <c r="E283" s="28">
        <v>0.0</v>
      </c>
    </row>
    <row r="284">
      <c r="A284" s="26">
        <v>283.0</v>
      </c>
      <c r="B284" s="27" t="s">
        <v>185</v>
      </c>
      <c r="C284" s="26" t="s">
        <v>30</v>
      </c>
      <c r="D284" s="26" t="s">
        <v>17</v>
      </c>
      <c r="E284" s="28">
        <v>0.0</v>
      </c>
    </row>
    <row r="285">
      <c r="A285" s="26">
        <v>284.0</v>
      </c>
      <c r="B285" s="27" t="s">
        <v>277</v>
      </c>
      <c r="C285" s="26" t="s">
        <v>83</v>
      </c>
      <c r="D285" s="26" t="s">
        <v>17</v>
      </c>
      <c r="E285" s="28">
        <v>0.0</v>
      </c>
    </row>
    <row r="286">
      <c r="A286" s="26">
        <v>285.0</v>
      </c>
      <c r="B286" s="27" t="s">
        <v>272</v>
      </c>
      <c r="C286" s="26" t="s">
        <v>65</v>
      </c>
      <c r="D286" s="26" t="s">
        <v>17</v>
      </c>
      <c r="E286" s="28">
        <v>0.0</v>
      </c>
    </row>
    <row r="287">
      <c r="A287" s="26">
        <v>286.0</v>
      </c>
      <c r="B287" s="27" t="s">
        <v>377</v>
      </c>
      <c r="C287" s="26" t="s">
        <v>30</v>
      </c>
      <c r="D287" s="26" t="s">
        <v>17</v>
      </c>
      <c r="E287" s="28">
        <v>0.0</v>
      </c>
    </row>
    <row r="288">
      <c r="A288" s="26">
        <v>287.0</v>
      </c>
      <c r="B288" s="27" t="s">
        <v>259</v>
      </c>
      <c r="C288" s="26" t="s">
        <v>45</v>
      </c>
      <c r="D288" s="26" t="s">
        <v>17</v>
      </c>
      <c r="E288" s="28">
        <v>0.0</v>
      </c>
    </row>
    <row r="289">
      <c r="A289" s="26">
        <v>288.0</v>
      </c>
      <c r="B289" s="27" t="s">
        <v>378</v>
      </c>
      <c r="C289" s="26" t="s">
        <v>172</v>
      </c>
      <c r="D289" s="26" t="s">
        <v>17</v>
      </c>
      <c r="E289" s="28">
        <v>0.0</v>
      </c>
    </row>
    <row r="290">
      <c r="A290" s="26">
        <v>289.0</v>
      </c>
      <c r="B290" s="27" t="s">
        <v>274</v>
      </c>
      <c r="C290" s="26" t="s">
        <v>13</v>
      </c>
      <c r="D290" s="26" t="s">
        <v>17</v>
      </c>
      <c r="E290" s="28">
        <v>0.0</v>
      </c>
    </row>
    <row r="291">
      <c r="A291" s="26">
        <v>290.0</v>
      </c>
      <c r="B291" s="27" t="s">
        <v>379</v>
      </c>
      <c r="C291" s="26" t="s">
        <v>11</v>
      </c>
      <c r="D291" s="26" t="s">
        <v>17</v>
      </c>
      <c r="E291" s="28">
        <v>0.0</v>
      </c>
    </row>
    <row r="292">
      <c r="A292" s="26">
        <v>291.0</v>
      </c>
      <c r="B292" s="27" t="s">
        <v>380</v>
      </c>
      <c r="C292" s="26" t="s">
        <v>49</v>
      </c>
      <c r="D292" s="26" t="s">
        <v>17</v>
      </c>
      <c r="E292" s="28">
        <v>0.0</v>
      </c>
    </row>
    <row r="293">
      <c r="A293" s="26">
        <v>292.0</v>
      </c>
      <c r="B293" s="27" t="s">
        <v>258</v>
      </c>
      <c r="C293" s="26" t="s">
        <v>39</v>
      </c>
      <c r="D293" s="26" t="s">
        <v>17</v>
      </c>
      <c r="E293" s="28">
        <v>0.0</v>
      </c>
    </row>
    <row r="294">
      <c r="A294" s="26">
        <v>293.0</v>
      </c>
      <c r="B294" s="27" t="s">
        <v>381</v>
      </c>
      <c r="C294" s="26" t="s">
        <v>53</v>
      </c>
      <c r="D294" s="26" t="s">
        <v>17</v>
      </c>
      <c r="E294" s="28">
        <v>0.0</v>
      </c>
    </row>
    <row r="295">
      <c r="A295" s="26">
        <v>294.0</v>
      </c>
      <c r="B295" s="27" t="s">
        <v>382</v>
      </c>
      <c r="C295" s="26" t="s">
        <v>72</v>
      </c>
      <c r="D295" s="26" t="s">
        <v>17</v>
      </c>
      <c r="E295" s="28">
        <v>0.0</v>
      </c>
    </row>
    <row r="296">
      <c r="A296" s="26">
        <v>295.0</v>
      </c>
      <c r="B296" s="27" t="s">
        <v>269</v>
      </c>
      <c r="C296" s="26" t="s">
        <v>88</v>
      </c>
      <c r="D296" s="26" t="s">
        <v>17</v>
      </c>
      <c r="E296" s="28">
        <v>0.0</v>
      </c>
    </row>
    <row r="297">
      <c r="A297" s="26">
        <v>296.0</v>
      </c>
      <c r="B297" s="27" t="s">
        <v>383</v>
      </c>
      <c r="C297" s="26" t="s">
        <v>51</v>
      </c>
      <c r="D297" s="26" t="s">
        <v>17</v>
      </c>
      <c r="E297" s="28">
        <v>0.0</v>
      </c>
    </row>
    <row r="298">
      <c r="A298" s="26">
        <v>297.0</v>
      </c>
      <c r="B298" s="27" t="s">
        <v>268</v>
      </c>
      <c r="C298" s="26" t="s">
        <v>67</v>
      </c>
      <c r="D298" s="26" t="s">
        <v>17</v>
      </c>
      <c r="E298" s="28">
        <v>0.0</v>
      </c>
    </row>
    <row r="299">
      <c r="A299" s="26">
        <v>298.0</v>
      </c>
      <c r="B299" s="27" t="s">
        <v>384</v>
      </c>
      <c r="C299" s="26" t="s">
        <v>9</v>
      </c>
      <c r="D299" s="26" t="s">
        <v>219</v>
      </c>
      <c r="E299" s="28">
        <v>0.0</v>
      </c>
    </row>
    <row r="300">
      <c r="A300" s="26">
        <v>299.0</v>
      </c>
      <c r="B300" s="27" t="s">
        <v>385</v>
      </c>
      <c r="C300" s="26" t="s">
        <v>30</v>
      </c>
      <c r="D300" s="26" t="s">
        <v>219</v>
      </c>
      <c r="E300" s="28">
        <v>0.0</v>
      </c>
    </row>
    <row r="301">
      <c r="A301" s="26">
        <v>300.0</v>
      </c>
      <c r="B301" s="27" t="s">
        <v>266</v>
      </c>
      <c r="C301" s="26" t="s">
        <v>13</v>
      </c>
      <c r="D301" s="26" t="s">
        <v>219</v>
      </c>
      <c r="E301" s="28">
        <v>0.0</v>
      </c>
    </row>
    <row r="302">
      <c r="A302" s="26">
        <v>301.0</v>
      </c>
      <c r="B302" s="27" t="s">
        <v>235</v>
      </c>
      <c r="C302" s="26" t="s">
        <v>53</v>
      </c>
      <c r="D302" s="26" t="s">
        <v>219</v>
      </c>
      <c r="E302" s="28">
        <v>0.0</v>
      </c>
    </row>
    <row r="303">
      <c r="A303" s="26">
        <v>302.0</v>
      </c>
      <c r="B303" s="27" t="s">
        <v>267</v>
      </c>
      <c r="C303" s="26" t="s">
        <v>83</v>
      </c>
      <c r="D303" s="26" t="s">
        <v>219</v>
      </c>
      <c r="E303" s="28">
        <v>0.0</v>
      </c>
    </row>
    <row r="304">
      <c r="A304" s="26">
        <v>303.0</v>
      </c>
      <c r="B304" s="27" t="s">
        <v>386</v>
      </c>
      <c r="C304" s="26" t="s">
        <v>34</v>
      </c>
      <c r="D304" s="26" t="s">
        <v>219</v>
      </c>
      <c r="E304" s="28">
        <v>0.0</v>
      </c>
    </row>
    <row r="305">
      <c r="A305" s="26">
        <v>304.0</v>
      </c>
      <c r="B305" s="27" t="s">
        <v>387</v>
      </c>
      <c r="C305" s="26" t="s">
        <v>11</v>
      </c>
      <c r="D305" s="26" t="s">
        <v>219</v>
      </c>
      <c r="E305" s="28">
        <v>0.0</v>
      </c>
    </row>
    <row r="306">
      <c r="A306" s="26">
        <v>305.0</v>
      </c>
      <c r="B306" s="27" t="s">
        <v>388</v>
      </c>
      <c r="C306" s="26" t="s">
        <v>172</v>
      </c>
      <c r="D306" s="26" t="s">
        <v>219</v>
      </c>
      <c r="E306" s="28">
        <v>0.0</v>
      </c>
    </row>
    <row r="307">
      <c r="A307" s="26">
        <v>306.0</v>
      </c>
      <c r="B307" s="27" t="s">
        <v>389</v>
      </c>
      <c r="C307" s="26" t="s">
        <v>65</v>
      </c>
      <c r="D307" s="26" t="s">
        <v>219</v>
      </c>
      <c r="E307" s="28">
        <v>0.0</v>
      </c>
    </row>
  </sheetData>
  <autoFilter ref="$A$1:$E$307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9.88"/>
    <col customWidth="1" min="3" max="3" width="5.13"/>
    <col customWidth="1" min="4" max="4" width="7.0"/>
    <col customWidth="1" min="5" max="5" width="7.88"/>
  </cols>
  <sheetData>
    <row r="1">
      <c r="A1" s="29" t="s">
        <v>0</v>
      </c>
      <c r="B1" s="30" t="s">
        <v>1</v>
      </c>
      <c r="C1" s="31" t="s">
        <v>2</v>
      </c>
      <c r="D1" s="31" t="s">
        <v>336</v>
      </c>
      <c r="E1" s="30" t="s">
        <v>337</v>
      </c>
    </row>
    <row r="2">
      <c r="A2" s="32">
        <v>1.0</v>
      </c>
      <c r="B2" s="33" t="s">
        <v>10</v>
      </c>
      <c r="C2" s="34" t="s">
        <v>11</v>
      </c>
      <c r="D2" s="34" t="s">
        <v>7</v>
      </c>
      <c r="E2" s="35">
        <v>29.0</v>
      </c>
    </row>
    <row r="3">
      <c r="A3" s="32">
        <v>2.0</v>
      </c>
      <c r="B3" s="36" t="s">
        <v>5</v>
      </c>
      <c r="C3" s="37" t="s">
        <v>6</v>
      </c>
      <c r="D3" s="37" t="s">
        <v>7</v>
      </c>
      <c r="E3" s="35">
        <v>29.0</v>
      </c>
    </row>
    <row r="4">
      <c r="A4" s="32">
        <v>3.0</v>
      </c>
      <c r="B4" s="36" t="s">
        <v>18</v>
      </c>
      <c r="C4" s="37" t="s">
        <v>19</v>
      </c>
      <c r="D4" s="37" t="s">
        <v>7</v>
      </c>
      <c r="E4" s="35">
        <v>28.0</v>
      </c>
    </row>
    <row r="5">
      <c r="A5" s="32">
        <v>4.0</v>
      </c>
      <c r="B5" s="36" t="s">
        <v>8</v>
      </c>
      <c r="C5" s="37" t="s">
        <v>9</v>
      </c>
      <c r="D5" s="37" t="s">
        <v>7</v>
      </c>
      <c r="E5" s="35">
        <v>28.0</v>
      </c>
    </row>
    <row r="6">
      <c r="A6" s="32">
        <v>5.0</v>
      </c>
      <c r="B6" s="36" t="s">
        <v>12</v>
      </c>
      <c r="C6" s="37" t="s">
        <v>13</v>
      </c>
      <c r="D6" s="37" t="s">
        <v>7</v>
      </c>
      <c r="E6" s="35">
        <v>26.0</v>
      </c>
    </row>
    <row r="7">
      <c r="A7" s="32">
        <v>6.0</v>
      </c>
      <c r="B7" s="36" t="s">
        <v>27</v>
      </c>
      <c r="C7" s="37" t="s">
        <v>28</v>
      </c>
      <c r="D7" s="37" t="s">
        <v>7</v>
      </c>
      <c r="E7" s="35">
        <v>25.0</v>
      </c>
    </row>
    <row r="8">
      <c r="A8" s="32">
        <v>7.0</v>
      </c>
      <c r="B8" s="36" t="s">
        <v>20</v>
      </c>
      <c r="C8" s="37" t="s">
        <v>21</v>
      </c>
      <c r="D8" s="37" t="s">
        <v>7</v>
      </c>
      <c r="E8" s="35">
        <v>25.0</v>
      </c>
    </row>
    <row r="9">
      <c r="A9" s="32">
        <v>8.0</v>
      </c>
      <c r="B9" s="36" t="s">
        <v>29</v>
      </c>
      <c r="C9" s="37" t="s">
        <v>30</v>
      </c>
      <c r="D9" s="37" t="s">
        <v>7</v>
      </c>
      <c r="E9" s="35">
        <v>21.0</v>
      </c>
    </row>
    <row r="10">
      <c r="A10" s="32">
        <v>9.0</v>
      </c>
      <c r="B10" s="36" t="s">
        <v>33</v>
      </c>
      <c r="C10" s="37" t="s">
        <v>34</v>
      </c>
      <c r="D10" s="37" t="s">
        <v>7</v>
      </c>
      <c r="E10" s="35">
        <v>21.0</v>
      </c>
    </row>
    <row r="11">
      <c r="A11" s="32">
        <v>10.0</v>
      </c>
      <c r="B11" s="36" t="s">
        <v>98</v>
      </c>
      <c r="C11" s="37" t="s">
        <v>15</v>
      </c>
      <c r="D11" s="37" t="s">
        <v>97</v>
      </c>
      <c r="E11" s="35">
        <v>20.0</v>
      </c>
    </row>
    <row r="12">
      <c r="A12" s="32">
        <v>11.0</v>
      </c>
      <c r="B12" s="36" t="s">
        <v>50</v>
      </c>
      <c r="C12" s="37" t="s">
        <v>51</v>
      </c>
      <c r="D12" s="37" t="s">
        <v>7</v>
      </c>
      <c r="E12" s="35">
        <v>19.0</v>
      </c>
    </row>
    <row r="13">
      <c r="A13" s="32">
        <v>12.0</v>
      </c>
      <c r="B13" s="36" t="s">
        <v>31</v>
      </c>
      <c r="C13" s="37" t="s">
        <v>32</v>
      </c>
      <c r="D13" s="37" t="s">
        <v>7</v>
      </c>
      <c r="E13" s="35">
        <v>19.0</v>
      </c>
    </row>
    <row r="14">
      <c r="A14" s="32">
        <v>13.0</v>
      </c>
      <c r="B14" s="36" t="s">
        <v>390</v>
      </c>
      <c r="C14" s="37" t="s">
        <v>41</v>
      </c>
      <c r="D14" s="37" t="s">
        <v>7</v>
      </c>
      <c r="E14" s="35">
        <v>18.0</v>
      </c>
    </row>
    <row r="15">
      <c r="A15" s="32">
        <v>14.0</v>
      </c>
      <c r="B15" s="36" t="s">
        <v>16</v>
      </c>
      <c r="C15" s="37" t="s">
        <v>6</v>
      </c>
      <c r="D15" s="37" t="s">
        <v>17</v>
      </c>
      <c r="E15" s="35">
        <v>17.0</v>
      </c>
    </row>
    <row r="16">
      <c r="A16" s="32">
        <v>15.0</v>
      </c>
      <c r="B16" s="36" t="s">
        <v>69</v>
      </c>
      <c r="C16" s="37" t="s">
        <v>70</v>
      </c>
      <c r="D16" s="37" t="s">
        <v>7</v>
      </c>
      <c r="E16" s="35">
        <v>17.0</v>
      </c>
    </row>
    <row r="17">
      <c r="A17" s="32">
        <v>16.0</v>
      </c>
      <c r="B17" s="36" t="s">
        <v>37</v>
      </c>
      <c r="C17" s="37" t="s">
        <v>23</v>
      </c>
      <c r="D17" s="37" t="s">
        <v>7</v>
      </c>
      <c r="E17" s="35">
        <v>16.0</v>
      </c>
    </row>
    <row r="18">
      <c r="A18" s="32">
        <v>17.0</v>
      </c>
      <c r="B18" s="36" t="s">
        <v>80</v>
      </c>
      <c r="C18" s="37" t="s">
        <v>45</v>
      </c>
      <c r="D18" s="37" t="s">
        <v>7</v>
      </c>
      <c r="E18" s="35">
        <v>16.0</v>
      </c>
    </row>
    <row r="19">
      <c r="A19" s="32">
        <v>18.0</v>
      </c>
      <c r="B19" s="36" t="s">
        <v>73</v>
      </c>
      <c r="C19" s="37" t="s">
        <v>39</v>
      </c>
      <c r="D19" s="37" t="s">
        <v>7</v>
      </c>
      <c r="E19" s="35">
        <v>16.0</v>
      </c>
    </row>
    <row r="20">
      <c r="A20" s="32">
        <v>19.0</v>
      </c>
      <c r="B20" s="36" t="s">
        <v>22</v>
      </c>
      <c r="C20" s="37" t="s">
        <v>23</v>
      </c>
      <c r="D20" s="37" t="s">
        <v>17</v>
      </c>
      <c r="E20" s="35">
        <v>16.0</v>
      </c>
    </row>
    <row r="21">
      <c r="A21" s="32">
        <v>20.0</v>
      </c>
      <c r="B21" s="36" t="s">
        <v>24</v>
      </c>
      <c r="C21" s="37" t="s">
        <v>19</v>
      </c>
      <c r="D21" s="37" t="s">
        <v>17</v>
      </c>
      <c r="E21" s="35">
        <v>16.0</v>
      </c>
    </row>
    <row r="22">
      <c r="A22" s="32">
        <v>21.0</v>
      </c>
      <c r="B22" s="36" t="s">
        <v>71</v>
      </c>
      <c r="C22" s="37" t="s">
        <v>72</v>
      </c>
      <c r="D22" s="37" t="s">
        <v>7</v>
      </c>
      <c r="E22" s="35">
        <v>16.0</v>
      </c>
    </row>
    <row r="23">
      <c r="A23" s="32">
        <v>22.0</v>
      </c>
      <c r="B23" s="36" t="s">
        <v>87</v>
      </c>
      <c r="C23" s="37" t="s">
        <v>88</v>
      </c>
      <c r="D23" s="37" t="s">
        <v>7</v>
      </c>
      <c r="E23" s="35">
        <v>16.0</v>
      </c>
    </row>
    <row r="24">
      <c r="A24" s="32">
        <v>23.0</v>
      </c>
      <c r="B24" s="36" t="s">
        <v>25</v>
      </c>
      <c r="C24" s="37" t="s">
        <v>26</v>
      </c>
      <c r="D24" s="37" t="s">
        <v>17</v>
      </c>
      <c r="E24" s="35">
        <v>14.0</v>
      </c>
    </row>
    <row r="25">
      <c r="A25" s="32">
        <v>24.0</v>
      </c>
      <c r="B25" s="36" t="s">
        <v>168</v>
      </c>
      <c r="C25" s="37" t="s">
        <v>77</v>
      </c>
      <c r="D25" s="37" t="s">
        <v>97</v>
      </c>
      <c r="E25" s="35">
        <v>14.0</v>
      </c>
    </row>
    <row r="26">
      <c r="A26" s="32">
        <v>25.0</v>
      </c>
      <c r="B26" s="36" t="s">
        <v>177</v>
      </c>
      <c r="C26" s="37" t="s">
        <v>34</v>
      </c>
      <c r="D26" s="37" t="s">
        <v>97</v>
      </c>
      <c r="E26" s="35">
        <v>14.0</v>
      </c>
    </row>
    <row r="27">
      <c r="A27" s="32">
        <v>26.0</v>
      </c>
      <c r="B27" s="36" t="s">
        <v>89</v>
      </c>
      <c r="C27" s="37" t="s">
        <v>75</v>
      </c>
      <c r="D27" s="37" t="s">
        <v>7</v>
      </c>
      <c r="E27" s="35">
        <v>14.0</v>
      </c>
    </row>
    <row r="28">
      <c r="A28" s="32">
        <v>27.0</v>
      </c>
      <c r="B28" s="36" t="s">
        <v>128</v>
      </c>
      <c r="C28" s="37" t="s">
        <v>21</v>
      </c>
      <c r="D28" s="37" t="s">
        <v>7</v>
      </c>
      <c r="E28" s="35">
        <v>13.0</v>
      </c>
    </row>
    <row r="29">
      <c r="A29" s="32">
        <v>28.0</v>
      </c>
      <c r="B29" s="36" t="s">
        <v>84</v>
      </c>
      <c r="C29" s="37" t="s">
        <v>60</v>
      </c>
      <c r="D29" s="37" t="s">
        <v>7</v>
      </c>
      <c r="E29" s="35">
        <v>13.0</v>
      </c>
    </row>
    <row r="30">
      <c r="A30" s="32">
        <v>29.0</v>
      </c>
      <c r="B30" s="36" t="s">
        <v>82</v>
      </c>
      <c r="C30" s="37" t="s">
        <v>83</v>
      </c>
      <c r="D30" s="37" t="s">
        <v>7</v>
      </c>
      <c r="E30" s="35">
        <v>13.0</v>
      </c>
    </row>
    <row r="31">
      <c r="A31" s="32">
        <v>30.0</v>
      </c>
      <c r="B31" s="36" t="s">
        <v>36</v>
      </c>
      <c r="C31" s="37" t="s">
        <v>21</v>
      </c>
      <c r="D31" s="37" t="s">
        <v>17</v>
      </c>
      <c r="E31" s="35">
        <v>13.0</v>
      </c>
    </row>
    <row r="32">
      <c r="A32" s="32">
        <v>31.0</v>
      </c>
      <c r="B32" s="36" t="s">
        <v>94</v>
      </c>
      <c r="C32" s="37" t="s">
        <v>95</v>
      </c>
      <c r="D32" s="37" t="s">
        <v>7</v>
      </c>
      <c r="E32" s="35">
        <v>13.0</v>
      </c>
    </row>
    <row r="33">
      <c r="A33" s="32">
        <v>32.0</v>
      </c>
      <c r="B33" s="36" t="s">
        <v>56</v>
      </c>
      <c r="C33" s="37" t="s">
        <v>28</v>
      </c>
      <c r="D33" s="37" t="s">
        <v>17</v>
      </c>
      <c r="E33" s="35">
        <v>13.0</v>
      </c>
    </row>
    <row r="34">
      <c r="A34" s="32">
        <v>33.0</v>
      </c>
      <c r="B34" s="36" t="s">
        <v>169</v>
      </c>
      <c r="C34" s="37" t="s">
        <v>21</v>
      </c>
      <c r="D34" s="37" t="s">
        <v>97</v>
      </c>
      <c r="E34" s="35">
        <v>13.0</v>
      </c>
    </row>
    <row r="35">
      <c r="A35" s="32">
        <v>34.0</v>
      </c>
      <c r="B35" s="36" t="s">
        <v>52</v>
      </c>
      <c r="C35" s="37" t="s">
        <v>53</v>
      </c>
      <c r="D35" s="37" t="s">
        <v>17</v>
      </c>
      <c r="E35" s="35">
        <v>13.0</v>
      </c>
    </row>
    <row r="36">
      <c r="A36" s="32">
        <v>35.0</v>
      </c>
      <c r="B36" s="36" t="s">
        <v>120</v>
      </c>
      <c r="C36" s="37" t="s">
        <v>83</v>
      </c>
      <c r="D36" s="37" t="s">
        <v>7</v>
      </c>
      <c r="E36" s="35">
        <v>12.0</v>
      </c>
    </row>
    <row r="37">
      <c r="A37" s="32">
        <v>36.0</v>
      </c>
      <c r="B37" s="36" t="s">
        <v>81</v>
      </c>
      <c r="C37" s="37" t="s">
        <v>63</v>
      </c>
      <c r="D37" s="37" t="s">
        <v>7</v>
      </c>
      <c r="E37" s="35">
        <v>12.0</v>
      </c>
    </row>
    <row r="38">
      <c r="A38" s="32">
        <v>37.0</v>
      </c>
      <c r="B38" s="36" t="s">
        <v>99</v>
      </c>
      <c r="C38" s="37" t="s">
        <v>26</v>
      </c>
      <c r="D38" s="37" t="s">
        <v>7</v>
      </c>
      <c r="E38" s="35">
        <v>12.0</v>
      </c>
    </row>
    <row r="39">
      <c r="A39" s="32">
        <v>38.0</v>
      </c>
      <c r="B39" s="36" t="s">
        <v>35</v>
      </c>
      <c r="C39" s="37" t="s">
        <v>34</v>
      </c>
      <c r="D39" s="37" t="s">
        <v>17</v>
      </c>
      <c r="E39" s="35">
        <v>12.0</v>
      </c>
    </row>
    <row r="40">
      <c r="A40" s="32">
        <v>39.0</v>
      </c>
      <c r="B40" s="36" t="s">
        <v>101</v>
      </c>
      <c r="C40" s="37" t="s">
        <v>23</v>
      </c>
      <c r="D40" s="37" t="s">
        <v>7</v>
      </c>
      <c r="E40" s="35">
        <v>12.0</v>
      </c>
    </row>
    <row r="41">
      <c r="A41" s="32">
        <v>40.0</v>
      </c>
      <c r="B41" s="36" t="s">
        <v>96</v>
      </c>
      <c r="C41" s="37" t="s">
        <v>47</v>
      </c>
      <c r="D41" s="37" t="s">
        <v>97</v>
      </c>
      <c r="E41" s="35">
        <v>12.0</v>
      </c>
    </row>
    <row r="42">
      <c r="A42" s="32">
        <v>41.0</v>
      </c>
      <c r="B42" s="36" t="s">
        <v>159</v>
      </c>
      <c r="C42" s="37" t="s">
        <v>6</v>
      </c>
      <c r="D42" s="37" t="s">
        <v>97</v>
      </c>
      <c r="E42" s="35">
        <v>11.0</v>
      </c>
    </row>
    <row r="43">
      <c r="A43" s="32">
        <v>42.0</v>
      </c>
      <c r="B43" s="36" t="s">
        <v>54</v>
      </c>
      <c r="C43" s="37" t="s">
        <v>32</v>
      </c>
      <c r="D43" s="37" t="s">
        <v>17</v>
      </c>
      <c r="E43" s="35">
        <v>11.0</v>
      </c>
    </row>
    <row r="44">
      <c r="A44" s="32">
        <v>43.0</v>
      </c>
      <c r="B44" s="36" t="s">
        <v>38</v>
      </c>
      <c r="C44" s="37" t="s">
        <v>39</v>
      </c>
      <c r="D44" s="37" t="s">
        <v>17</v>
      </c>
      <c r="E44" s="35">
        <v>11.0</v>
      </c>
    </row>
    <row r="45">
      <c r="A45" s="32">
        <v>44.0</v>
      </c>
      <c r="B45" s="36" t="s">
        <v>74</v>
      </c>
      <c r="C45" s="37" t="s">
        <v>75</v>
      </c>
      <c r="D45" s="37" t="s">
        <v>17</v>
      </c>
      <c r="E45" s="35">
        <v>11.0</v>
      </c>
    </row>
    <row r="46">
      <c r="A46" s="32">
        <v>45.0</v>
      </c>
      <c r="B46" s="36" t="s">
        <v>139</v>
      </c>
      <c r="C46" s="37" t="s">
        <v>51</v>
      </c>
      <c r="D46" s="37" t="s">
        <v>7</v>
      </c>
      <c r="E46" s="35">
        <v>10.0</v>
      </c>
    </row>
    <row r="47">
      <c r="A47" s="32">
        <v>46.0</v>
      </c>
      <c r="B47" s="36" t="s">
        <v>127</v>
      </c>
      <c r="C47" s="37" t="s">
        <v>77</v>
      </c>
      <c r="D47" s="37" t="s">
        <v>7</v>
      </c>
      <c r="E47" s="35">
        <v>10.0</v>
      </c>
    </row>
    <row r="48">
      <c r="A48" s="32">
        <v>47.0</v>
      </c>
      <c r="B48" s="36" t="s">
        <v>62</v>
      </c>
      <c r="C48" s="37" t="s">
        <v>63</v>
      </c>
      <c r="D48" s="37" t="s">
        <v>17</v>
      </c>
      <c r="E48" s="35">
        <v>10.0</v>
      </c>
    </row>
    <row r="49">
      <c r="A49" s="32">
        <v>48.0</v>
      </c>
      <c r="B49" s="36" t="s">
        <v>248</v>
      </c>
      <c r="C49" s="37" t="s">
        <v>49</v>
      </c>
      <c r="D49" s="37" t="s">
        <v>7</v>
      </c>
      <c r="E49" s="35">
        <v>10.0</v>
      </c>
    </row>
    <row r="50">
      <c r="A50" s="32">
        <v>49.0</v>
      </c>
      <c r="B50" s="36" t="s">
        <v>46</v>
      </c>
      <c r="C50" s="37" t="s">
        <v>47</v>
      </c>
      <c r="D50" s="37" t="s">
        <v>17</v>
      </c>
      <c r="E50" s="35">
        <v>10.0</v>
      </c>
    </row>
    <row r="51">
      <c r="A51" s="32">
        <v>50.0</v>
      </c>
      <c r="B51" s="36" t="s">
        <v>48</v>
      </c>
      <c r="C51" s="37" t="s">
        <v>49</v>
      </c>
      <c r="D51" s="37" t="s">
        <v>17</v>
      </c>
      <c r="E51" s="35">
        <v>10.0</v>
      </c>
    </row>
    <row r="52">
      <c r="A52" s="32">
        <v>51.0</v>
      </c>
      <c r="B52" s="36" t="s">
        <v>126</v>
      </c>
      <c r="C52" s="37" t="s">
        <v>47</v>
      </c>
      <c r="D52" s="37" t="s">
        <v>7</v>
      </c>
      <c r="E52" s="35">
        <v>9.0</v>
      </c>
    </row>
    <row r="53">
      <c r="A53" s="32">
        <v>52.0</v>
      </c>
      <c r="B53" s="36" t="s">
        <v>238</v>
      </c>
      <c r="C53" s="37" t="s">
        <v>95</v>
      </c>
      <c r="D53" s="37" t="s">
        <v>7</v>
      </c>
      <c r="E53" s="35">
        <v>9.0</v>
      </c>
    </row>
    <row r="54">
      <c r="A54" s="32">
        <v>53.0</v>
      </c>
      <c r="B54" s="36" t="s">
        <v>391</v>
      </c>
      <c r="C54" s="37" t="s">
        <v>6</v>
      </c>
      <c r="D54" s="37" t="s">
        <v>17</v>
      </c>
      <c r="E54" s="35">
        <v>9.0</v>
      </c>
    </row>
    <row r="55">
      <c r="A55" s="32">
        <v>54.0</v>
      </c>
      <c r="B55" s="36" t="s">
        <v>179</v>
      </c>
      <c r="C55" s="37" t="s">
        <v>72</v>
      </c>
      <c r="D55" s="37" t="s">
        <v>97</v>
      </c>
      <c r="E55" s="35">
        <v>9.0</v>
      </c>
    </row>
    <row r="56">
      <c r="A56" s="32">
        <v>55.0</v>
      </c>
      <c r="B56" s="36" t="s">
        <v>108</v>
      </c>
      <c r="C56" s="37" t="s">
        <v>65</v>
      </c>
      <c r="D56" s="37" t="s">
        <v>97</v>
      </c>
      <c r="E56" s="35">
        <v>9.0</v>
      </c>
    </row>
    <row r="57">
      <c r="A57" s="32">
        <v>56.0</v>
      </c>
      <c r="B57" s="36" t="s">
        <v>64</v>
      </c>
      <c r="C57" s="37" t="s">
        <v>65</v>
      </c>
      <c r="D57" s="37" t="s">
        <v>17</v>
      </c>
      <c r="E57" s="35">
        <v>9.0</v>
      </c>
    </row>
    <row r="58">
      <c r="A58" s="32">
        <v>57.0</v>
      </c>
      <c r="B58" s="36" t="s">
        <v>392</v>
      </c>
      <c r="C58" s="37" t="s">
        <v>65</v>
      </c>
      <c r="D58" s="37" t="s">
        <v>7</v>
      </c>
      <c r="E58" s="35">
        <v>9.0</v>
      </c>
    </row>
    <row r="59">
      <c r="A59" s="32">
        <v>58.0</v>
      </c>
      <c r="B59" s="36" t="s">
        <v>124</v>
      </c>
      <c r="C59" s="37" t="s">
        <v>67</v>
      </c>
      <c r="D59" s="37" t="s">
        <v>7</v>
      </c>
      <c r="E59" s="35">
        <v>8.0</v>
      </c>
    </row>
    <row r="60">
      <c r="A60" s="32">
        <v>59.0</v>
      </c>
      <c r="B60" s="36" t="s">
        <v>191</v>
      </c>
      <c r="C60" s="37" t="s">
        <v>63</v>
      </c>
      <c r="D60" s="37" t="s">
        <v>7</v>
      </c>
      <c r="E60" s="35">
        <v>8.0</v>
      </c>
    </row>
    <row r="61">
      <c r="A61" s="32">
        <v>60.0</v>
      </c>
      <c r="B61" s="36" t="s">
        <v>55</v>
      </c>
      <c r="C61" s="37" t="s">
        <v>32</v>
      </c>
      <c r="D61" s="37" t="s">
        <v>17</v>
      </c>
      <c r="E61" s="35">
        <v>8.0</v>
      </c>
    </row>
    <row r="62">
      <c r="A62" s="32">
        <v>61.0</v>
      </c>
      <c r="B62" s="36" t="s">
        <v>138</v>
      </c>
      <c r="C62" s="37" t="s">
        <v>67</v>
      </c>
      <c r="D62" s="37" t="s">
        <v>7</v>
      </c>
      <c r="E62" s="35">
        <v>8.0</v>
      </c>
    </row>
    <row r="63">
      <c r="A63" s="32">
        <v>62.0</v>
      </c>
      <c r="B63" s="36" t="s">
        <v>76</v>
      </c>
      <c r="C63" s="37" t="s">
        <v>77</v>
      </c>
      <c r="D63" s="37" t="s">
        <v>17</v>
      </c>
      <c r="E63" s="35">
        <v>8.0</v>
      </c>
    </row>
    <row r="64">
      <c r="A64" s="32">
        <v>63.0</v>
      </c>
      <c r="B64" s="36" t="s">
        <v>135</v>
      </c>
      <c r="C64" s="37" t="s">
        <v>53</v>
      </c>
      <c r="D64" s="37" t="s">
        <v>7</v>
      </c>
      <c r="E64" s="35">
        <v>8.0</v>
      </c>
    </row>
    <row r="65">
      <c r="A65" s="32">
        <v>64.0</v>
      </c>
      <c r="B65" s="36" t="s">
        <v>79</v>
      </c>
      <c r="C65" s="37" t="s">
        <v>77</v>
      </c>
      <c r="D65" s="37" t="s">
        <v>17</v>
      </c>
      <c r="E65" s="35">
        <v>8.0</v>
      </c>
    </row>
    <row r="66">
      <c r="A66" s="32">
        <v>65.0</v>
      </c>
      <c r="B66" s="36" t="s">
        <v>111</v>
      </c>
      <c r="C66" s="37" t="s">
        <v>72</v>
      </c>
      <c r="D66" s="37" t="s">
        <v>17</v>
      </c>
      <c r="E66" s="35">
        <v>8.0</v>
      </c>
    </row>
    <row r="67">
      <c r="A67" s="32">
        <v>66.0</v>
      </c>
      <c r="B67" s="36" t="s">
        <v>206</v>
      </c>
      <c r="C67" s="37" t="s">
        <v>9</v>
      </c>
      <c r="D67" s="37" t="s">
        <v>97</v>
      </c>
      <c r="E67" s="35">
        <v>8.0</v>
      </c>
    </row>
    <row r="68">
      <c r="A68" s="32">
        <v>67.0</v>
      </c>
      <c r="B68" s="36" t="s">
        <v>100</v>
      </c>
      <c r="C68" s="37" t="s">
        <v>15</v>
      </c>
      <c r="D68" s="37" t="s">
        <v>7</v>
      </c>
      <c r="E68" s="35">
        <v>8.0</v>
      </c>
    </row>
    <row r="69">
      <c r="A69" s="32">
        <v>68.0</v>
      </c>
      <c r="B69" s="36" t="s">
        <v>149</v>
      </c>
      <c r="C69" s="37" t="s">
        <v>41</v>
      </c>
      <c r="D69" s="37" t="s">
        <v>7</v>
      </c>
      <c r="E69" s="35">
        <v>7.0</v>
      </c>
    </row>
    <row r="70">
      <c r="A70" s="32">
        <v>69.0</v>
      </c>
      <c r="B70" s="36" t="s">
        <v>85</v>
      </c>
      <c r="C70" s="37" t="s">
        <v>65</v>
      </c>
      <c r="D70" s="37" t="s">
        <v>7</v>
      </c>
      <c r="E70" s="35">
        <v>7.0</v>
      </c>
    </row>
    <row r="71">
      <c r="A71" s="32">
        <v>70.0</v>
      </c>
      <c r="B71" s="36" t="s">
        <v>78</v>
      </c>
      <c r="C71" s="37" t="s">
        <v>9</v>
      </c>
      <c r="D71" s="37" t="s">
        <v>17</v>
      </c>
      <c r="E71" s="35">
        <v>7.0</v>
      </c>
    </row>
    <row r="72">
      <c r="A72" s="32">
        <v>71.0</v>
      </c>
      <c r="B72" s="36" t="s">
        <v>204</v>
      </c>
      <c r="C72" s="37" t="s">
        <v>47</v>
      </c>
      <c r="D72" s="37" t="s">
        <v>7</v>
      </c>
      <c r="E72" s="35">
        <v>7.0</v>
      </c>
    </row>
    <row r="73">
      <c r="A73" s="32">
        <v>72.0</v>
      </c>
      <c r="B73" s="36" t="s">
        <v>91</v>
      </c>
      <c r="C73" s="37" t="s">
        <v>67</v>
      </c>
      <c r="D73" s="37" t="s">
        <v>17</v>
      </c>
      <c r="E73" s="35">
        <v>7.0</v>
      </c>
    </row>
    <row r="74">
      <c r="A74" s="32">
        <v>73.0</v>
      </c>
      <c r="B74" s="36" t="s">
        <v>180</v>
      </c>
      <c r="C74" s="37" t="s">
        <v>23</v>
      </c>
      <c r="D74" s="37" t="s">
        <v>97</v>
      </c>
      <c r="E74" s="35">
        <v>6.0</v>
      </c>
    </row>
    <row r="75">
      <c r="A75" s="32">
        <v>74.0</v>
      </c>
      <c r="B75" s="36" t="s">
        <v>130</v>
      </c>
      <c r="C75" s="37" t="s">
        <v>95</v>
      </c>
      <c r="D75" s="37" t="s">
        <v>17</v>
      </c>
      <c r="E75" s="35">
        <v>6.0</v>
      </c>
    </row>
    <row r="76">
      <c r="A76" s="32">
        <v>75.0</v>
      </c>
      <c r="B76" s="36" t="s">
        <v>160</v>
      </c>
      <c r="C76" s="37" t="s">
        <v>32</v>
      </c>
      <c r="D76" s="37" t="s">
        <v>97</v>
      </c>
      <c r="E76" s="35">
        <v>6.0</v>
      </c>
    </row>
    <row r="77">
      <c r="A77" s="32">
        <v>76.0</v>
      </c>
      <c r="B77" s="36" t="s">
        <v>137</v>
      </c>
      <c r="C77" s="37" t="s">
        <v>123</v>
      </c>
      <c r="D77" s="37" t="s">
        <v>7</v>
      </c>
      <c r="E77" s="35">
        <v>6.0</v>
      </c>
    </row>
    <row r="78">
      <c r="A78" s="32">
        <v>77.0</v>
      </c>
      <c r="B78" s="36" t="s">
        <v>61</v>
      </c>
      <c r="C78" s="37" t="s">
        <v>51</v>
      </c>
      <c r="D78" s="37" t="s">
        <v>17</v>
      </c>
      <c r="E78" s="35">
        <v>6.0</v>
      </c>
    </row>
    <row r="79">
      <c r="A79" s="32">
        <v>78.0</v>
      </c>
      <c r="B79" s="36" t="s">
        <v>153</v>
      </c>
      <c r="C79" s="37" t="s">
        <v>39</v>
      </c>
      <c r="D79" s="37" t="s">
        <v>7</v>
      </c>
      <c r="E79" s="35">
        <v>6.0</v>
      </c>
    </row>
    <row r="80">
      <c r="A80" s="32">
        <v>79.0</v>
      </c>
      <c r="B80" s="36" t="s">
        <v>92</v>
      </c>
      <c r="C80" s="37" t="s">
        <v>9</v>
      </c>
      <c r="D80" s="37" t="s">
        <v>17</v>
      </c>
      <c r="E80" s="35">
        <v>6.0</v>
      </c>
    </row>
    <row r="81">
      <c r="A81" s="32">
        <v>80.0</v>
      </c>
      <c r="B81" s="36" t="s">
        <v>58</v>
      </c>
      <c r="C81" s="37" t="s">
        <v>28</v>
      </c>
      <c r="D81" s="37" t="s">
        <v>43</v>
      </c>
      <c r="E81" s="35">
        <v>6.0</v>
      </c>
    </row>
    <row r="82">
      <c r="A82" s="32">
        <v>81.0</v>
      </c>
      <c r="B82" s="36" t="s">
        <v>42</v>
      </c>
      <c r="C82" s="37" t="s">
        <v>15</v>
      </c>
      <c r="D82" s="37" t="s">
        <v>43</v>
      </c>
      <c r="E82" s="35">
        <v>6.0</v>
      </c>
    </row>
    <row r="83">
      <c r="A83" s="32">
        <v>82.0</v>
      </c>
      <c r="B83" s="36" t="s">
        <v>136</v>
      </c>
      <c r="C83" s="37" t="s">
        <v>67</v>
      </c>
      <c r="D83" s="37" t="s">
        <v>7</v>
      </c>
      <c r="E83" s="35">
        <v>6.0</v>
      </c>
    </row>
    <row r="84">
      <c r="A84" s="32">
        <v>83.0</v>
      </c>
      <c r="B84" s="36" t="s">
        <v>190</v>
      </c>
      <c r="C84" s="37" t="s">
        <v>77</v>
      </c>
      <c r="D84" s="37" t="s">
        <v>7</v>
      </c>
      <c r="E84" s="35">
        <v>5.0</v>
      </c>
    </row>
    <row r="85">
      <c r="A85" s="32">
        <v>84.0</v>
      </c>
      <c r="B85" s="36" t="s">
        <v>105</v>
      </c>
      <c r="C85" s="37" t="s">
        <v>83</v>
      </c>
      <c r="D85" s="37" t="s">
        <v>17</v>
      </c>
      <c r="E85" s="35">
        <v>5.0</v>
      </c>
    </row>
    <row r="86">
      <c r="A86" s="32">
        <v>85.0</v>
      </c>
      <c r="B86" s="36" t="s">
        <v>66</v>
      </c>
      <c r="C86" s="37" t="s">
        <v>67</v>
      </c>
      <c r="D86" s="37" t="s">
        <v>17</v>
      </c>
      <c r="E86" s="35">
        <v>5.0</v>
      </c>
    </row>
    <row r="87">
      <c r="A87" s="32">
        <v>86.0</v>
      </c>
      <c r="B87" s="36" t="s">
        <v>57</v>
      </c>
      <c r="C87" s="37" t="s">
        <v>11</v>
      </c>
      <c r="D87" s="37" t="s">
        <v>17</v>
      </c>
      <c r="E87" s="35">
        <v>5.0</v>
      </c>
    </row>
    <row r="88">
      <c r="A88" s="32">
        <v>87.0</v>
      </c>
      <c r="B88" s="36" t="s">
        <v>155</v>
      </c>
      <c r="C88" s="37" t="s">
        <v>32</v>
      </c>
      <c r="D88" s="37" t="s">
        <v>7</v>
      </c>
      <c r="E88" s="35">
        <v>5.0</v>
      </c>
    </row>
    <row r="89">
      <c r="A89" s="32">
        <v>88.0</v>
      </c>
      <c r="B89" s="36" t="s">
        <v>143</v>
      </c>
      <c r="C89" s="37" t="s">
        <v>123</v>
      </c>
      <c r="D89" s="37" t="s">
        <v>17</v>
      </c>
      <c r="E89" s="35">
        <v>5.0</v>
      </c>
    </row>
    <row r="90">
      <c r="A90" s="32">
        <v>89.0</v>
      </c>
      <c r="B90" s="36" t="s">
        <v>103</v>
      </c>
      <c r="C90" s="37" t="s">
        <v>15</v>
      </c>
      <c r="D90" s="37" t="s">
        <v>17</v>
      </c>
      <c r="E90" s="35">
        <v>5.0</v>
      </c>
    </row>
    <row r="91">
      <c r="A91" s="32">
        <v>90.0</v>
      </c>
      <c r="B91" s="36" t="s">
        <v>102</v>
      </c>
      <c r="C91" s="37" t="s">
        <v>63</v>
      </c>
      <c r="D91" s="37" t="s">
        <v>17</v>
      </c>
      <c r="E91" s="35">
        <v>5.0</v>
      </c>
    </row>
    <row r="92">
      <c r="A92" s="32">
        <v>91.0</v>
      </c>
      <c r="B92" s="36" t="s">
        <v>196</v>
      </c>
      <c r="C92" s="37" t="s">
        <v>72</v>
      </c>
      <c r="D92" s="37" t="s">
        <v>7</v>
      </c>
      <c r="E92" s="35">
        <v>5.0</v>
      </c>
    </row>
    <row r="93">
      <c r="A93" s="32">
        <v>92.0</v>
      </c>
      <c r="B93" s="36" t="s">
        <v>197</v>
      </c>
      <c r="C93" s="37" t="s">
        <v>77</v>
      </c>
      <c r="D93" s="37" t="s">
        <v>7</v>
      </c>
      <c r="E93" s="35">
        <v>5.0</v>
      </c>
    </row>
    <row r="94">
      <c r="A94" s="32">
        <v>93.0</v>
      </c>
      <c r="B94" s="36" t="s">
        <v>154</v>
      </c>
      <c r="C94" s="37" t="s">
        <v>53</v>
      </c>
      <c r="D94" s="37" t="s">
        <v>7</v>
      </c>
      <c r="E94" s="35">
        <v>4.0</v>
      </c>
    </row>
    <row r="95">
      <c r="A95" s="32">
        <v>94.0</v>
      </c>
      <c r="B95" s="36" t="s">
        <v>112</v>
      </c>
      <c r="C95" s="37" t="s">
        <v>9</v>
      </c>
      <c r="D95" s="37" t="s">
        <v>17</v>
      </c>
      <c r="E95" s="35">
        <v>4.0</v>
      </c>
    </row>
    <row r="96">
      <c r="A96" s="32">
        <v>95.0</v>
      </c>
      <c r="B96" s="36" t="s">
        <v>110</v>
      </c>
      <c r="C96" s="37" t="s">
        <v>26</v>
      </c>
      <c r="D96" s="37" t="s">
        <v>17</v>
      </c>
      <c r="E96" s="35">
        <v>4.0</v>
      </c>
    </row>
    <row r="97">
      <c r="A97" s="32">
        <v>96.0</v>
      </c>
      <c r="B97" s="36" t="s">
        <v>86</v>
      </c>
      <c r="C97" s="37" t="s">
        <v>49</v>
      </c>
      <c r="D97" s="37" t="s">
        <v>7</v>
      </c>
      <c r="E97" s="35">
        <v>4.0</v>
      </c>
    </row>
    <row r="98">
      <c r="A98" s="32">
        <v>97.0</v>
      </c>
      <c r="B98" s="36" t="s">
        <v>68</v>
      </c>
      <c r="C98" s="37" t="s">
        <v>60</v>
      </c>
      <c r="D98" s="37" t="s">
        <v>17</v>
      </c>
      <c r="E98" s="35">
        <v>4.0</v>
      </c>
    </row>
    <row r="99">
      <c r="A99" s="32">
        <v>98.0</v>
      </c>
      <c r="B99" s="36" t="s">
        <v>114</v>
      </c>
      <c r="C99" s="37" t="s">
        <v>72</v>
      </c>
      <c r="D99" s="37" t="s">
        <v>17</v>
      </c>
      <c r="E99" s="35">
        <v>4.0</v>
      </c>
    </row>
    <row r="100">
      <c r="A100" s="32">
        <v>99.0</v>
      </c>
      <c r="B100" s="36" t="s">
        <v>288</v>
      </c>
      <c r="C100" s="37" t="s">
        <v>75</v>
      </c>
      <c r="D100" s="37" t="s">
        <v>97</v>
      </c>
      <c r="E100" s="35">
        <v>4.0</v>
      </c>
    </row>
    <row r="101">
      <c r="A101" s="32">
        <v>100.0</v>
      </c>
      <c r="B101" s="36" t="s">
        <v>133</v>
      </c>
      <c r="C101" s="37" t="s">
        <v>19</v>
      </c>
      <c r="D101" s="37" t="s">
        <v>17</v>
      </c>
      <c r="E101" s="35">
        <v>4.0</v>
      </c>
    </row>
    <row r="102">
      <c r="A102" s="32">
        <v>101.0</v>
      </c>
      <c r="B102" s="36" t="s">
        <v>147</v>
      </c>
      <c r="C102" s="37" t="s">
        <v>65</v>
      </c>
      <c r="D102" s="37" t="s">
        <v>17</v>
      </c>
      <c r="E102" s="35">
        <v>4.0</v>
      </c>
    </row>
    <row r="103">
      <c r="A103" s="32">
        <v>102.0</v>
      </c>
      <c r="B103" s="36" t="s">
        <v>173</v>
      </c>
      <c r="C103" s="37" t="s">
        <v>39</v>
      </c>
      <c r="D103" s="37" t="s">
        <v>17</v>
      </c>
      <c r="E103" s="35">
        <v>4.0</v>
      </c>
    </row>
    <row r="104">
      <c r="A104" s="32">
        <v>103.0</v>
      </c>
      <c r="B104" s="36" t="s">
        <v>357</v>
      </c>
      <c r="C104" s="37" t="s">
        <v>123</v>
      </c>
      <c r="D104" s="37" t="s">
        <v>7</v>
      </c>
      <c r="E104" s="35">
        <v>3.0</v>
      </c>
    </row>
    <row r="105">
      <c r="A105" s="32">
        <v>104.0</v>
      </c>
      <c r="B105" s="36" t="s">
        <v>104</v>
      </c>
      <c r="C105" s="37" t="s">
        <v>28</v>
      </c>
      <c r="D105" s="37" t="s">
        <v>17</v>
      </c>
      <c r="E105" s="35">
        <v>3.0</v>
      </c>
    </row>
    <row r="106">
      <c r="A106" s="32">
        <v>105.0</v>
      </c>
      <c r="B106" s="36" t="s">
        <v>145</v>
      </c>
      <c r="C106" s="37" t="s">
        <v>60</v>
      </c>
      <c r="D106" s="37" t="s">
        <v>17</v>
      </c>
      <c r="E106" s="35">
        <v>3.0</v>
      </c>
    </row>
    <row r="107">
      <c r="A107" s="32">
        <v>106.0</v>
      </c>
      <c r="B107" s="36" t="s">
        <v>59</v>
      </c>
      <c r="C107" s="37" t="s">
        <v>60</v>
      </c>
      <c r="D107" s="37" t="s">
        <v>43</v>
      </c>
      <c r="E107" s="35">
        <v>3.0</v>
      </c>
    </row>
    <row r="108">
      <c r="A108" s="32">
        <v>107.0</v>
      </c>
      <c r="B108" s="36" t="s">
        <v>165</v>
      </c>
      <c r="C108" s="37" t="s">
        <v>49</v>
      </c>
      <c r="D108" s="37" t="s">
        <v>17</v>
      </c>
      <c r="E108" s="35">
        <v>3.0</v>
      </c>
    </row>
    <row r="109">
      <c r="A109" s="32">
        <v>108.0</v>
      </c>
      <c r="B109" s="36" t="s">
        <v>14</v>
      </c>
      <c r="C109" s="37" t="s">
        <v>15</v>
      </c>
      <c r="D109" s="37" t="s">
        <v>7</v>
      </c>
      <c r="E109" s="35">
        <v>3.0</v>
      </c>
    </row>
    <row r="110">
      <c r="A110" s="32">
        <v>109.0</v>
      </c>
      <c r="B110" s="36" t="s">
        <v>93</v>
      </c>
      <c r="C110" s="37" t="s">
        <v>41</v>
      </c>
      <c r="D110" s="37" t="s">
        <v>17</v>
      </c>
      <c r="E110" s="35">
        <v>3.0</v>
      </c>
    </row>
    <row r="111">
      <c r="A111" s="32">
        <v>110.0</v>
      </c>
      <c r="B111" s="36" t="s">
        <v>144</v>
      </c>
      <c r="C111" s="37" t="s">
        <v>77</v>
      </c>
      <c r="D111" s="37" t="s">
        <v>17</v>
      </c>
      <c r="E111" s="35">
        <v>3.0</v>
      </c>
    </row>
    <row r="112">
      <c r="A112" s="32">
        <v>111.0</v>
      </c>
      <c r="B112" s="36" t="s">
        <v>259</v>
      </c>
      <c r="C112" s="37" t="s">
        <v>45</v>
      </c>
      <c r="D112" s="37" t="s">
        <v>17</v>
      </c>
      <c r="E112" s="35">
        <v>3.0</v>
      </c>
    </row>
    <row r="113">
      <c r="A113" s="32">
        <v>112.0</v>
      </c>
      <c r="B113" s="36" t="s">
        <v>117</v>
      </c>
      <c r="C113" s="37" t="s">
        <v>41</v>
      </c>
      <c r="D113" s="37" t="s">
        <v>43</v>
      </c>
      <c r="E113" s="35">
        <v>3.0</v>
      </c>
    </row>
    <row r="114">
      <c r="A114" s="32">
        <v>113.0</v>
      </c>
      <c r="B114" s="36" t="s">
        <v>116</v>
      </c>
      <c r="C114" s="37" t="s">
        <v>45</v>
      </c>
      <c r="D114" s="37" t="s">
        <v>17</v>
      </c>
      <c r="E114" s="35">
        <v>3.0</v>
      </c>
    </row>
    <row r="115">
      <c r="A115" s="32">
        <v>114.0</v>
      </c>
      <c r="B115" s="36" t="s">
        <v>113</v>
      </c>
      <c r="C115" s="37" t="s">
        <v>88</v>
      </c>
      <c r="D115" s="37" t="s">
        <v>17</v>
      </c>
      <c r="E115" s="35">
        <v>3.0</v>
      </c>
    </row>
    <row r="116">
      <c r="A116" s="32">
        <v>115.0</v>
      </c>
      <c r="B116" s="36" t="s">
        <v>243</v>
      </c>
      <c r="C116" s="37" t="s">
        <v>26</v>
      </c>
      <c r="D116" s="37" t="s">
        <v>7</v>
      </c>
      <c r="E116" s="35">
        <v>3.0</v>
      </c>
    </row>
    <row r="117">
      <c r="A117" s="32">
        <v>116.0</v>
      </c>
      <c r="B117" s="36" t="s">
        <v>183</v>
      </c>
      <c r="C117" s="37" t="s">
        <v>51</v>
      </c>
      <c r="D117" s="37" t="s">
        <v>17</v>
      </c>
      <c r="E117" s="35">
        <v>3.0</v>
      </c>
    </row>
    <row r="118">
      <c r="A118" s="32">
        <v>117.0</v>
      </c>
      <c r="B118" s="38" t="s">
        <v>198</v>
      </c>
      <c r="C118" s="37" t="s">
        <v>30</v>
      </c>
      <c r="D118" s="37" t="s">
        <v>199</v>
      </c>
      <c r="E118" s="35">
        <v>3.0</v>
      </c>
    </row>
    <row r="119">
      <c r="A119" s="32">
        <v>118.0</v>
      </c>
      <c r="B119" s="36" t="s">
        <v>132</v>
      </c>
      <c r="C119" s="37" t="s">
        <v>15</v>
      </c>
      <c r="D119" s="37" t="s">
        <v>17</v>
      </c>
      <c r="E119" s="35">
        <v>2.0</v>
      </c>
    </row>
    <row r="120">
      <c r="A120" s="32">
        <v>119.0</v>
      </c>
      <c r="B120" s="36" t="s">
        <v>201</v>
      </c>
      <c r="C120" s="37" t="s">
        <v>11</v>
      </c>
      <c r="D120" s="37" t="s">
        <v>17</v>
      </c>
      <c r="E120" s="35">
        <v>2.0</v>
      </c>
    </row>
    <row r="121">
      <c r="A121" s="32">
        <v>120.0</v>
      </c>
      <c r="B121" s="36" t="s">
        <v>192</v>
      </c>
      <c r="C121" s="37" t="s">
        <v>53</v>
      </c>
      <c r="D121" s="37" t="s">
        <v>7</v>
      </c>
      <c r="E121" s="35">
        <v>2.0</v>
      </c>
    </row>
    <row r="122">
      <c r="A122" s="32">
        <v>121.0</v>
      </c>
      <c r="B122" s="36" t="s">
        <v>377</v>
      </c>
      <c r="C122" s="37" t="s">
        <v>30</v>
      </c>
      <c r="D122" s="37" t="s">
        <v>17</v>
      </c>
      <c r="E122" s="35">
        <v>2.0</v>
      </c>
    </row>
    <row r="123">
      <c r="A123" s="32">
        <v>122.0</v>
      </c>
      <c r="B123" s="36" t="s">
        <v>274</v>
      </c>
      <c r="C123" s="37" t="s">
        <v>13</v>
      </c>
      <c r="D123" s="37" t="s">
        <v>17</v>
      </c>
      <c r="E123" s="35">
        <v>2.0</v>
      </c>
    </row>
    <row r="124">
      <c r="A124" s="32">
        <v>123.0</v>
      </c>
      <c r="B124" s="36" t="s">
        <v>203</v>
      </c>
      <c r="C124" s="37" t="s">
        <v>88</v>
      </c>
      <c r="D124" s="37" t="s">
        <v>17</v>
      </c>
      <c r="E124" s="35">
        <v>2.0</v>
      </c>
    </row>
    <row r="125">
      <c r="A125" s="32">
        <v>124.0</v>
      </c>
      <c r="B125" s="36" t="s">
        <v>245</v>
      </c>
      <c r="C125" s="37" t="s">
        <v>34</v>
      </c>
      <c r="D125" s="37" t="s">
        <v>7</v>
      </c>
      <c r="E125" s="35">
        <v>2.0</v>
      </c>
    </row>
    <row r="126">
      <c r="A126" s="32">
        <v>125.0</v>
      </c>
      <c r="B126" s="36" t="s">
        <v>121</v>
      </c>
      <c r="C126" s="37" t="s">
        <v>70</v>
      </c>
      <c r="D126" s="37" t="s">
        <v>17</v>
      </c>
      <c r="E126" s="35">
        <v>2.0</v>
      </c>
    </row>
    <row r="127">
      <c r="A127" s="32">
        <v>126.0</v>
      </c>
      <c r="B127" s="36" t="s">
        <v>166</v>
      </c>
      <c r="C127" s="37" t="s">
        <v>49</v>
      </c>
      <c r="D127" s="37" t="s">
        <v>17</v>
      </c>
      <c r="E127" s="35">
        <v>2.0</v>
      </c>
    </row>
    <row r="128">
      <c r="A128" s="32">
        <v>127.0</v>
      </c>
      <c r="B128" s="36" t="s">
        <v>393</v>
      </c>
      <c r="C128" s="37" t="s">
        <v>83</v>
      </c>
      <c r="D128" s="37" t="s">
        <v>17</v>
      </c>
      <c r="E128" s="35">
        <v>2.0</v>
      </c>
    </row>
    <row r="129">
      <c r="A129" s="32">
        <v>128.0</v>
      </c>
      <c r="B129" s="36" t="s">
        <v>208</v>
      </c>
      <c r="C129" s="37" t="s">
        <v>30</v>
      </c>
      <c r="D129" s="37" t="s">
        <v>17</v>
      </c>
      <c r="E129" s="35">
        <v>2.0</v>
      </c>
    </row>
    <row r="130">
      <c r="A130" s="32">
        <v>129.0</v>
      </c>
      <c r="B130" s="36" t="s">
        <v>170</v>
      </c>
      <c r="C130" s="37" t="s">
        <v>23</v>
      </c>
      <c r="D130" s="37" t="s">
        <v>17</v>
      </c>
      <c r="E130" s="35">
        <v>2.0</v>
      </c>
    </row>
    <row r="131">
      <c r="A131" s="32">
        <v>130.0</v>
      </c>
      <c r="B131" s="36" t="s">
        <v>141</v>
      </c>
      <c r="C131" s="37" t="s">
        <v>47</v>
      </c>
      <c r="D131" s="37" t="s">
        <v>7</v>
      </c>
      <c r="E131" s="35">
        <v>2.0</v>
      </c>
    </row>
    <row r="132">
      <c r="A132" s="32">
        <v>131.0</v>
      </c>
      <c r="B132" s="36" t="s">
        <v>212</v>
      </c>
      <c r="C132" s="37" t="s">
        <v>75</v>
      </c>
      <c r="D132" s="37" t="s">
        <v>17</v>
      </c>
      <c r="E132" s="35">
        <v>2.0</v>
      </c>
    </row>
    <row r="133">
      <c r="A133" s="32">
        <v>132.0</v>
      </c>
      <c r="B133" s="36" t="s">
        <v>244</v>
      </c>
      <c r="C133" s="37" t="s">
        <v>70</v>
      </c>
      <c r="D133" s="37" t="s">
        <v>7</v>
      </c>
      <c r="E133" s="35">
        <v>2.0</v>
      </c>
    </row>
    <row r="134">
      <c r="A134" s="32">
        <v>133.0</v>
      </c>
      <c r="B134" s="36" t="s">
        <v>210</v>
      </c>
      <c r="C134" s="37" t="s">
        <v>60</v>
      </c>
      <c r="D134" s="37" t="s">
        <v>7</v>
      </c>
      <c r="E134" s="35">
        <v>2.0</v>
      </c>
    </row>
    <row r="135">
      <c r="A135" s="32">
        <v>134.0</v>
      </c>
      <c r="B135" s="39" t="s">
        <v>213</v>
      </c>
      <c r="C135" s="40" t="s">
        <v>60</v>
      </c>
      <c r="D135" s="37" t="s">
        <v>199</v>
      </c>
      <c r="E135" s="35">
        <v>2.0</v>
      </c>
    </row>
    <row r="136">
      <c r="A136" s="32">
        <v>135.0</v>
      </c>
      <c r="B136" s="39" t="s">
        <v>214</v>
      </c>
      <c r="C136" s="40" t="s">
        <v>9</v>
      </c>
      <c r="D136" s="37" t="s">
        <v>199</v>
      </c>
      <c r="E136" s="35">
        <v>2.0</v>
      </c>
    </row>
    <row r="137">
      <c r="A137" s="32">
        <v>136.0</v>
      </c>
      <c r="B137" s="39" t="s">
        <v>216</v>
      </c>
      <c r="C137" s="40" t="s">
        <v>26</v>
      </c>
      <c r="D137" s="37" t="s">
        <v>199</v>
      </c>
      <c r="E137" s="35">
        <v>2.0</v>
      </c>
    </row>
    <row r="138">
      <c r="A138" s="32">
        <v>137.0</v>
      </c>
      <c r="B138" s="39" t="s">
        <v>224</v>
      </c>
      <c r="C138" s="40" t="s">
        <v>63</v>
      </c>
      <c r="D138" s="37" t="s">
        <v>199</v>
      </c>
      <c r="E138" s="35">
        <v>2.0</v>
      </c>
    </row>
    <row r="139">
      <c r="A139" s="32">
        <v>138.0</v>
      </c>
      <c r="B139" s="39" t="s">
        <v>217</v>
      </c>
      <c r="C139" s="40" t="s">
        <v>88</v>
      </c>
      <c r="D139" s="37" t="s">
        <v>199</v>
      </c>
      <c r="E139" s="35">
        <v>2.0</v>
      </c>
    </row>
    <row r="140">
      <c r="A140" s="32">
        <v>139.0</v>
      </c>
      <c r="B140" s="39" t="s">
        <v>215</v>
      </c>
      <c r="C140" s="40" t="s">
        <v>32</v>
      </c>
      <c r="D140" s="37" t="s">
        <v>199</v>
      </c>
      <c r="E140" s="35">
        <v>2.0</v>
      </c>
    </row>
    <row r="141">
      <c r="A141" s="32">
        <v>140.0</v>
      </c>
      <c r="B141" s="36" t="s">
        <v>270</v>
      </c>
      <c r="C141" s="37" t="s">
        <v>34</v>
      </c>
      <c r="D141" s="37" t="s">
        <v>17</v>
      </c>
      <c r="E141" s="35">
        <v>1.0</v>
      </c>
    </row>
    <row r="142">
      <c r="A142" s="32">
        <v>141.0</v>
      </c>
      <c r="B142" s="36" t="s">
        <v>167</v>
      </c>
      <c r="C142" s="37" t="s">
        <v>13</v>
      </c>
      <c r="D142" s="37" t="s">
        <v>17</v>
      </c>
      <c r="E142" s="35">
        <v>1.0</v>
      </c>
    </row>
    <row r="143">
      <c r="A143" s="32">
        <v>142.0</v>
      </c>
      <c r="B143" s="36" t="s">
        <v>187</v>
      </c>
      <c r="C143" s="37" t="s">
        <v>34</v>
      </c>
      <c r="D143" s="37" t="s">
        <v>17</v>
      </c>
      <c r="E143" s="35">
        <v>1.0</v>
      </c>
    </row>
    <row r="144">
      <c r="A144" s="32">
        <v>143.0</v>
      </c>
      <c r="B144" s="36" t="s">
        <v>246</v>
      </c>
      <c r="C144" s="37" t="s">
        <v>28</v>
      </c>
      <c r="D144" s="37" t="s">
        <v>7</v>
      </c>
      <c r="E144" s="35">
        <v>1.0</v>
      </c>
    </row>
    <row r="145">
      <c r="A145" s="32">
        <v>144.0</v>
      </c>
      <c r="B145" s="36" t="s">
        <v>118</v>
      </c>
      <c r="C145" s="37" t="s">
        <v>83</v>
      </c>
      <c r="D145" s="37" t="s">
        <v>43</v>
      </c>
      <c r="E145" s="35">
        <v>1.0</v>
      </c>
    </row>
    <row r="146">
      <c r="A146" s="32">
        <v>145.0</v>
      </c>
      <c r="B146" s="36" t="s">
        <v>156</v>
      </c>
      <c r="C146" s="37" t="s">
        <v>83</v>
      </c>
      <c r="D146" s="37" t="s">
        <v>17</v>
      </c>
      <c r="E146" s="35">
        <v>1.0</v>
      </c>
    </row>
    <row r="147">
      <c r="A147" s="32">
        <v>146.0</v>
      </c>
      <c r="B147" s="36" t="s">
        <v>382</v>
      </c>
      <c r="C147" s="37" t="s">
        <v>72</v>
      </c>
      <c r="D147" s="37" t="s">
        <v>17</v>
      </c>
      <c r="E147" s="35">
        <v>1.0</v>
      </c>
    </row>
    <row r="148">
      <c r="A148" s="32">
        <v>147.0</v>
      </c>
      <c r="B148" s="36" t="s">
        <v>129</v>
      </c>
      <c r="C148" s="37" t="s">
        <v>45</v>
      </c>
      <c r="D148" s="37" t="s">
        <v>17</v>
      </c>
      <c r="E148" s="35">
        <v>1.0</v>
      </c>
    </row>
    <row r="149">
      <c r="A149" s="32">
        <v>148.0</v>
      </c>
      <c r="B149" s="36" t="s">
        <v>164</v>
      </c>
      <c r="C149" s="37" t="s">
        <v>41</v>
      </c>
      <c r="D149" s="37" t="s">
        <v>17</v>
      </c>
      <c r="E149" s="35">
        <v>1.0</v>
      </c>
    </row>
    <row r="150">
      <c r="A150" s="32">
        <v>149.0</v>
      </c>
      <c r="B150" s="36" t="s">
        <v>184</v>
      </c>
      <c r="C150" s="37" t="s">
        <v>6</v>
      </c>
      <c r="D150" s="37" t="s">
        <v>17</v>
      </c>
      <c r="E150" s="35">
        <v>1.0</v>
      </c>
    </row>
    <row r="151">
      <c r="A151" s="32">
        <v>150.0</v>
      </c>
      <c r="B151" s="36" t="s">
        <v>142</v>
      </c>
      <c r="C151" s="37" t="s">
        <v>30</v>
      </c>
      <c r="D151" s="37" t="s">
        <v>17</v>
      </c>
      <c r="E151" s="35">
        <v>1.0</v>
      </c>
    </row>
    <row r="152">
      <c r="A152" s="32">
        <v>151.0</v>
      </c>
      <c r="B152" s="36" t="s">
        <v>157</v>
      </c>
      <c r="C152" s="37" t="s">
        <v>123</v>
      </c>
      <c r="D152" s="37" t="s">
        <v>17</v>
      </c>
      <c r="E152" s="35">
        <v>1.0</v>
      </c>
    </row>
    <row r="153">
      <c r="A153" s="32">
        <v>152.0</v>
      </c>
      <c r="B153" s="36" t="s">
        <v>185</v>
      </c>
      <c r="C153" s="37" t="s">
        <v>30</v>
      </c>
      <c r="D153" s="37" t="s">
        <v>17</v>
      </c>
      <c r="E153" s="35">
        <v>1.0</v>
      </c>
    </row>
    <row r="154">
      <c r="A154" s="32">
        <v>153.0</v>
      </c>
      <c r="B154" s="36" t="s">
        <v>171</v>
      </c>
      <c r="C154" s="37" t="s">
        <v>172</v>
      </c>
      <c r="D154" s="37" t="s">
        <v>17</v>
      </c>
      <c r="E154" s="35">
        <v>1.0</v>
      </c>
    </row>
    <row r="155">
      <c r="A155" s="32">
        <v>154.0</v>
      </c>
      <c r="B155" s="36" t="s">
        <v>162</v>
      </c>
      <c r="C155" s="37" t="s">
        <v>21</v>
      </c>
      <c r="D155" s="37" t="s">
        <v>17</v>
      </c>
      <c r="E155" s="35">
        <v>1.0</v>
      </c>
    </row>
    <row r="156">
      <c r="A156" s="32">
        <v>155.0</v>
      </c>
      <c r="B156" s="36" t="s">
        <v>394</v>
      </c>
      <c r="C156" s="37" t="s">
        <v>15</v>
      </c>
      <c r="D156" s="37" t="s">
        <v>17</v>
      </c>
      <c r="E156" s="35">
        <v>1.0</v>
      </c>
    </row>
    <row r="157">
      <c r="A157" s="32">
        <v>156.0</v>
      </c>
      <c r="B157" s="36" t="s">
        <v>195</v>
      </c>
      <c r="C157" s="37" t="s">
        <v>75</v>
      </c>
      <c r="D157" s="37" t="s">
        <v>7</v>
      </c>
      <c r="E157" s="35">
        <v>1.0</v>
      </c>
    </row>
    <row r="158">
      <c r="A158" s="32">
        <v>157.0</v>
      </c>
      <c r="B158" s="39" t="s">
        <v>225</v>
      </c>
      <c r="C158" s="40" t="s">
        <v>21</v>
      </c>
      <c r="D158" s="37" t="s">
        <v>199</v>
      </c>
      <c r="E158" s="35">
        <v>1.0</v>
      </c>
    </row>
    <row r="159">
      <c r="A159" s="32">
        <v>158.0</v>
      </c>
      <c r="B159" s="39" t="s">
        <v>340</v>
      </c>
      <c r="C159" s="40" t="s">
        <v>6</v>
      </c>
      <c r="D159" s="37" t="s">
        <v>199</v>
      </c>
      <c r="E159" s="35">
        <v>1.0</v>
      </c>
    </row>
    <row r="160">
      <c r="A160" s="32">
        <v>159.0</v>
      </c>
      <c r="B160" s="39" t="s">
        <v>223</v>
      </c>
      <c r="C160" s="40" t="s">
        <v>34</v>
      </c>
      <c r="D160" s="37" t="s">
        <v>199</v>
      </c>
      <c r="E160" s="35">
        <v>1.0</v>
      </c>
    </row>
    <row r="161">
      <c r="A161" s="32">
        <v>160.0</v>
      </c>
      <c r="B161" s="39" t="s">
        <v>294</v>
      </c>
      <c r="C161" s="40" t="s">
        <v>23</v>
      </c>
      <c r="D161" s="37" t="s">
        <v>199</v>
      </c>
      <c r="E161" s="35">
        <v>1.0</v>
      </c>
    </row>
    <row r="162">
      <c r="A162" s="32">
        <v>161.0</v>
      </c>
      <c r="B162" s="39" t="s">
        <v>222</v>
      </c>
      <c r="C162" s="40" t="s">
        <v>15</v>
      </c>
      <c r="D162" s="37" t="s">
        <v>199</v>
      </c>
      <c r="E162" s="35">
        <v>1.0</v>
      </c>
    </row>
    <row r="163">
      <c r="A163" s="32">
        <v>162.0</v>
      </c>
      <c r="B163" s="36" t="s">
        <v>119</v>
      </c>
      <c r="C163" s="37" t="s">
        <v>19</v>
      </c>
      <c r="D163" s="37" t="s">
        <v>43</v>
      </c>
      <c r="E163" s="35">
        <v>0.0</v>
      </c>
    </row>
    <row r="164">
      <c r="A164" s="32">
        <v>163.0</v>
      </c>
      <c r="B164" s="36" t="s">
        <v>115</v>
      </c>
      <c r="C164" s="37" t="s">
        <v>47</v>
      </c>
      <c r="D164" s="37" t="s">
        <v>17</v>
      </c>
      <c r="E164" s="35">
        <v>0.0</v>
      </c>
    </row>
    <row r="165">
      <c r="A165" s="32">
        <v>164.0</v>
      </c>
      <c r="B165" s="36" t="s">
        <v>152</v>
      </c>
      <c r="C165" s="37" t="s">
        <v>51</v>
      </c>
      <c r="D165" s="37" t="s">
        <v>43</v>
      </c>
      <c r="E165" s="35">
        <v>0.0</v>
      </c>
    </row>
    <row r="166">
      <c r="A166" s="32">
        <v>165.0</v>
      </c>
      <c r="B166" s="36" t="s">
        <v>125</v>
      </c>
      <c r="C166" s="37" t="s">
        <v>47</v>
      </c>
      <c r="D166" s="37" t="s">
        <v>43</v>
      </c>
      <c r="E166" s="35">
        <v>0.0</v>
      </c>
    </row>
    <row r="167">
      <c r="A167" s="32">
        <v>166.0</v>
      </c>
      <c r="B167" s="36" t="s">
        <v>254</v>
      </c>
      <c r="C167" s="37" t="s">
        <v>49</v>
      </c>
      <c r="D167" s="37" t="s">
        <v>43</v>
      </c>
      <c r="E167" s="35">
        <v>0.0</v>
      </c>
    </row>
    <row r="168">
      <c r="A168" s="32">
        <v>167.0</v>
      </c>
      <c r="B168" s="36" t="s">
        <v>240</v>
      </c>
      <c r="C168" s="37" t="s">
        <v>75</v>
      </c>
      <c r="D168" s="37" t="s">
        <v>43</v>
      </c>
      <c r="E168" s="35">
        <v>0.0</v>
      </c>
    </row>
    <row r="169">
      <c r="A169" s="32">
        <v>168.0</v>
      </c>
      <c r="B169" s="36" t="s">
        <v>175</v>
      </c>
      <c r="C169" s="37" t="s">
        <v>70</v>
      </c>
      <c r="D169" s="37" t="s">
        <v>43</v>
      </c>
      <c r="E169" s="35">
        <v>0.0</v>
      </c>
    </row>
    <row r="170">
      <c r="A170" s="32">
        <v>169.0</v>
      </c>
      <c r="B170" s="36" t="s">
        <v>161</v>
      </c>
      <c r="C170" s="37" t="s">
        <v>53</v>
      </c>
      <c r="D170" s="37" t="s">
        <v>43</v>
      </c>
      <c r="E170" s="35">
        <v>0.0</v>
      </c>
    </row>
    <row r="171">
      <c r="A171" s="32">
        <v>170.0</v>
      </c>
      <c r="B171" s="36" t="s">
        <v>237</v>
      </c>
      <c r="C171" s="37" t="s">
        <v>88</v>
      </c>
      <c r="D171" s="37" t="s">
        <v>7</v>
      </c>
      <c r="E171" s="35">
        <v>0.0</v>
      </c>
    </row>
    <row r="172">
      <c r="A172" s="32">
        <v>171.0</v>
      </c>
      <c r="B172" s="36" t="s">
        <v>221</v>
      </c>
      <c r="C172" s="37" t="s">
        <v>88</v>
      </c>
      <c r="D172" s="37" t="s">
        <v>219</v>
      </c>
      <c r="E172" s="35">
        <v>0.0</v>
      </c>
    </row>
    <row r="173">
      <c r="A173" s="32">
        <v>172.0</v>
      </c>
      <c r="B173" s="36" t="s">
        <v>218</v>
      </c>
      <c r="C173" s="37" t="s">
        <v>9</v>
      </c>
      <c r="D173" s="37" t="s">
        <v>219</v>
      </c>
      <c r="E173" s="35">
        <v>0.0</v>
      </c>
    </row>
    <row r="174">
      <c r="A174" s="32">
        <v>173.0</v>
      </c>
      <c r="B174" s="36" t="s">
        <v>220</v>
      </c>
      <c r="C174" s="37" t="s">
        <v>15</v>
      </c>
      <c r="D174" s="37" t="s">
        <v>219</v>
      </c>
      <c r="E174" s="35">
        <v>0.0</v>
      </c>
    </row>
    <row r="175">
      <c r="A175" s="32">
        <v>174.0</v>
      </c>
      <c r="B175" s="36" t="s">
        <v>234</v>
      </c>
      <c r="C175" s="37" t="s">
        <v>28</v>
      </c>
      <c r="D175" s="37" t="s">
        <v>219</v>
      </c>
      <c r="E175" s="35">
        <v>0.0</v>
      </c>
    </row>
    <row r="176">
      <c r="A176" s="32">
        <v>175.0</v>
      </c>
      <c r="B176" s="36" t="s">
        <v>228</v>
      </c>
      <c r="C176" s="37" t="s">
        <v>23</v>
      </c>
      <c r="D176" s="37" t="s">
        <v>219</v>
      </c>
      <c r="E176" s="35">
        <v>0.0</v>
      </c>
    </row>
    <row r="177">
      <c r="A177" s="32">
        <v>176.0</v>
      </c>
      <c r="B177" s="36" t="s">
        <v>233</v>
      </c>
      <c r="C177" s="37" t="s">
        <v>77</v>
      </c>
      <c r="D177" s="37" t="s">
        <v>219</v>
      </c>
      <c r="E177" s="35">
        <v>0.0</v>
      </c>
    </row>
    <row r="178">
      <c r="A178" s="32">
        <v>177.0</v>
      </c>
      <c r="B178" s="36" t="s">
        <v>232</v>
      </c>
      <c r="C178" s="37" t="s">
        <v>60</v>
      </c>
      <c r="D178" s="37" t="s">
        <v>219</v>
      </c>
      <c r="E178" s="35">
        <v>0.0</v>
      </c>
    </row>
    <row r="179">
      <c r="A179" s="32">
        <v>178.0</v>
      </c>
      <c r="B179" s="36" t="s">
        <v>229</v>
      </c>
      <c r="C179" s="37" t="s">
        <v>21</v>
      </c>
      <c r="D179" s="37" t="s">
        <v>219</v>
      </c>
      <c r="E179" s="35">
        <v>0.0</v>
      </c>
    </row>
    <row r="180">
      <c r="A180" s="32">
        <v>179.0</v>
      </c>
      <c r="B180" s="36" t="s">
        <v>230</v>
      </c>
      <c r="C180" s="37" t="s">
        <v>6</v>
      </c>
      <c r="D180" s="37" t="s">
        <v>219</v>
      </c>
      <c r="E180" s="35">
        <v>0.0</v>
      </c>
    </row>
    <row r="181">
      <c r="A181" s="32">
        <v>180.0</v>
      </c>
      <c r="B181" s="36" t="s">
        <v>385</v>
      </c>
      <c r="C181" s="37" t="s">
        <v>30</v>
      </c>
      <c r="D181" s="37" t="s">
        <v>219</v>
      </c>
      <c r="E181" s="35">
        <v>0.0</v>
      </c>
    </row>
    <row r="182">
      <c r="A182" s="32">
        <v>181.0</v>
      </c>
      <c r="B182" s="36" t="s">
        <v>231</v>
      </c>
      <c r="C182" s="37" t="s">
        <v>72</v>
      </c>
      <c r="D182" s="37" t="s">
        <v>219</v>
      </c>
      <c r="E182" s="35">
        <v>0.0</v>
      </c>
    </row>
    <row r="183">
      <c r="A183" s="32">
        <v>182.0</v>
      </c>
      <c r="B183" s="36" t="s">
        <v>267</v>
      </c>
      <c r="C183" s="37" t="s">
        <v>83</v>
      </c>
      <c r="D183" s="37" t="s">
        <v>219</v>
      </c>
      <c r="E183" s="35">
        <v>0.0</v>
      </c>
    </row>
    <row r="184">
      <c r="A184" s="32">
        <v>183.0</v>
      </c>
      <c r="B184" s="36" t="s">
        <v>176</v>
      </c>
      <c r="C184" s="37" t="s">
        <v>28</v>
      </c>
      <c r="D184" s="37" t="s">
        <v>97</v>
      </c>
      <c r="E184" s="35">
        <v>0.0</v>
      </c>
    </row>
    <row r="185">
      <c r="A185" s="32">
        <v>184.0</v>
      </c>
      <c r="B185" s="36" t="s">
        <v>122</v>
      </c>
      <c r="C185" s="37" t="s">
        <v>123</v>
      </c>
      <c r="D185" s="37" t="s">
        <v>17</v>
      </c>
      <c r="E185" s="35">
        <v>0.0</v>
      </c>
    </row>
    <row r="186">
      <c r="A186" s="32">
        <v>185.0</v>
      </c>
      <c r="B186" s="36" t="s">
        <v>134</v>
      </c>
      <c r="C186" s="37" t="s">
        <v>75</v>
      </c>
      <c r="D186" s="37" t="s">
        <v>17</v>
      </c>
      <c r="E186" s="35">
        <v>0.0</v>
      </c>
    </row>
    <row r="187">
      <c r="A187" s="32">
        <v>186.0</v>
      </c>
      <c r="B187" s="36" t="s">
        <v>266</v>
      </c>
      <c r="C187" s="37" t="s">
        <v>13</v>
      </c>
      <c r="D187" s="37" t="s">
        <v>219</v>
      </c>
      <c r="E187" s="35">
        <v>0.0</v>
      </c>
    </row>
    <row r="188">
      <c r="A188" s="32">
        <v>187.0</v>
      </c>
      <c r="B188" s="36" t="s">
        <v>376</v>
      </c>
      <c r="C188" s="37" t="s">
        <v>47</v>
      </c>
      <c r="D188" s="37" t="s">
        <v>17</v>
      </c>
      <c r="E188" s="35">
        <v>0.0</v>
      </c>
    </row>
    <row r="189">
      <c r="A189" s="32">
        <v>188.0</v>
      </c>
      <c r="B189" s="36" t="s">
        <v>395</v>
      </c>
      <c r="C189" s="37" t="s">
        <v>26</v>
      </c>
      <c r="D189" s="37" t="s">
        <v>219</v>
      </c>
      <c r="E189" s="35">
        <v>0.0</v>
      </c>
    </row>
    <row r="190">
      <c r="A190" s="32">
        <v>189.0</v>
      </c>
      <c r="B190" s="36" t="s">
        <v>295</v>
      </c>
      <c r="C190" s="37" t="s">
        <v>32</v>
      </c>
      <c r="D190" s="37" t="s">
        <v>219</v>
      </c>
      <c r="E190" s="35">
        <v>0.0</v>
      </c>
    </row>
    <row r="191">
      <c r="A191" s="32">
        <v>190.0</v>
      </c>
      <c r="B191" s="36" t="s">
        <v>389</v>
      </c>
      <c r="C191" s="37" t="s">
        <v>65</v>
      </c>
      <c r="D191" s="37" t="s">
        <v>219</v>
      </c>
      <c r="E191" s="35">
        <v>0.0</v>
      </c>
    </row>
    <row r="192">
      <c r="A192" s="32">
        <v>191.0</v>
      </c>
      <c r="B192" s="36" t="s">
        <v>396</v>
      </c>
      <c r="C192" s="37" t="s">
        <v>63</v>
      </c>
      <c r="D192" s="37" t="s">
        <v>219</v>
      </c>
      <c r="E192" s="35">
        <v>0.0</v>
      </c>
    </row>
    <row r="193">
      <c r="A193" s="32">
        <v>192.0</v>
      </c>
      <c r="B193" s="36" t="s">
        <v>397</v>
      </c>
      <c r="C193" s="37" t="s">
        <v>70</v>
      </c>
      <c r="D193" s="37" t="s">
        <v>219</v>
      </c>
      <c r="E193" s="35">
        <v>0.0</v>
      </c>
    </row>
    <row r="194">
      <c r="A194" s="32">
        <v>193.0</v>
      </c>
      <c r="B194" s="36" t="s">
        <v>236</v>
      </c>
      <c r="C194" s="37" t="s">
        <v>41</v>
      </c>
      <c r="D194" s="37" t="s">
        <v>219</v>
      </c>
      <c r="E194" s="35">
        <v>0.0</v>
      </c>
    </row>
    <row r="195">
      <c r="A195" s="32">
        <v>194.0</v>
      </c>
      <c r="B195" s="36" t="s">
        <v>341</v>
      </c>
      <c r="C195" s="37" t="s">
        <v>47</v>
      </c>
      <c r="D195" s="37" t="s">
        <v>219</v>
      </c>
      <c r="E195" s="35">
        <v>0.0</v>
      </c>
    </row>
    <row r="196">
      <c r="A196" s="32">
        <v>195.0</v>
      </c>
      <c r="B196" s="36" t="s">
        <v>235</v>
      </c>
      <c r="C196" s="37" t="s">
        <v>53</v>
      </c>
      <c r="D196" s="37" t="s">
        <v>219</v>
      </c>
      <c r="E196" s="35">
        <v>0.0</v>
      </c>
    </row>
    <row r="197">
      <c r="A197" s="32">
        <v>196.0</v>
      </c>
      <c r="B197" s="36" t="s">
        <v>398</v>
      </c>
      <c r="C197" s="37" t="s">
        <v>49</v>
      </c>
      <c r="D197" s="37" t="s">
        <v>219</v>
      </c>
      <c r="E197" s="35">
        <v>0.0</v>
      </c>
    </row>
    <row r="198">
      <c r="A198" s="32">
        <v>197.0</v>
      </c>
      <c r="B198" s="36" t="s">
        <v>399</v>
      </c>
      <c r="C198" s="37" t="s">
        <v>123</v>
      </c>
      <c r="D198" s="37" t="s">
        <v>219</v>
      </c>
      <c r="E198" s="35">
        <v>0.0</v>
      </c>
    </row>
    <row r="199">
      <c r="A199" s="32">
        <v>198.0</v>
      </c>
      <c r="B199" s="36" t="s">
        <v>400</v>
      </c>
      <c r="C199" s="37" t="s">
        <v>51</v>
      </c>
      <c r="D199" s="37" t="s">
        <v>219</v>
      </c>
      <c r="E199" s="35">
        <v>0.0</v>
      </c>
    </row>
    <row r="200">
      <c r="A200" s="32">
        <v>199.0</v>
      </c>
      <c r="B200" s="36" t="s">
        <v>387</v>
      </c>
      <c r="C200" s="37" t="s">
        <v>11</v>
      </c>
      <c r="D200" s="37" t="s">
        <v>219</v>
      </c>
      <c r="E200" s="35">
        <v>0.0</v>
      </c>
    </row>
    <row r="201">
      <c r="A201" s="32">
        <v>200.0</v>
      </c>
      <c r="B201" s="36" t="s">
        <v>401</v>
      </c>
      <c r="C201" s="37" t="s">
        <v>19</v>
      </c>
      <c r="D201" s="37" t="s">
        <v>219</v>
      </c>
      <c r="E201" s="35">
        <v>0.0</v>
      </c>
    </row>
    <row r="202">
      <c r="A202" s="32">
        <v>201.0</v>
      </c>
      <c r="B202" s="36" t="s">
        <v>402</v>
      </c>
      <c r="C202" s="37" t="s">
        <v>67</v>
      </c>
      <c r="D202" s="37" t="s">
        <v>219</v>
      </c>
      <c r="E202" s="35">
        <v>0.0</v>
      </c>
    </row>
    <row r="203">
      <c r="A203" s="32">
        <v>202.0</v>
      </c>
      <c r="B203" s="36" t="s">
        <v>403</v>
      </c>
      <c r="C203" s="37" t="s">
        <v>45</v>
      </c>
      <c r="D203" s="37" t="s">
        <v>219</v>
      </c>
      <c r="E203" s="35">
        <v>0.0</v>
      </c>
    </row>
    <row r="204">
      <c r="A204" s="32">
        <v>203.0</v>
      </c>
      <c r="B204" s="36" t="s">
        <v>404</v>
      </c>
      <c r="C204" s="37" t="s">
        <v>172</v>
      </c>
      <c r="D204" s="37" t="s">
        <v>219</v>
      </c>
      <c r="E204" s="35">
        <v>0.0</v>
      </c>
    </row>
    <row r="205">
      <c r="A205" s="32">
        <v>204.0</v>
      </c>
      <c r="B205" s="36" t="s">
        <v>405</v>
      </c>
      <c r="C205" s="37" t="s">
        <v>39</v>
      </c>
      <c r="D205" s="37" t="s">
        <v>219</v>
      </c>
      <c r="E205" s="35">
        <v>0.0</v>
      </c>
    </row>
    <row r="206">
      <c r="A206" s="32">
        <v>205.0</v>
      </c>
      <c r="B206" s="36" t="s">
        <v>406</v>
      </c>
      <c r="C206" s="37" t="s">
        <v>34</v>
      </c>
      <c r="D206" s="37" t="s">
        <v>219</v>
      </c>
      <c r="E206" s="35">
        <v>0.0</v>
      </c>
    </row>
    <row r="207">
      <c r="A207" s="32">
        <v>206.0</v>
      </c>
      <c r="B207" s="36" t="s">
        <v>407</v>
      </c>
      <c r="C207" s="37" t="s">
        <v>75</v>
      </c>
      <c r="D207" s="37" t="s">
        <v>219</v>
      </c>
      <c r="E207" s="35">
        <v>0.0</v>
      </c>
    </row>
    <row r="208">
      <c r="A208" s="32">
        <v>207.0</v>
      </c>
      <c r="B208" s="36" t="s">
        <v>146</v>
      </c>
      <c r="C208" s="37" t="s">
        <v>13</v>
      </c>
      <c r="D208" s="37" t="s">
        <v>17</v>
      </c>
      <c r="E208" s="35">
        <v>0.0</v>
      </c>
    </row>
    <row r="209">
      <c r="A209" s="32">
        <v>208.0</v>
      </c>
      <c r="B209" s="36" t="s">
        <v>386</v>
      </c>
      <c r="C209" s="37" t="s">
        <v>34</v>
      </c>
      <c r="D209" s="37" t="s">
        <v>219</v>
      </c>
      <c r="E209" s="35">
        <v>0.0</v>
      </c>
    </row>
    <row r="210">
      <c r="A210" s="32">
        <v>209.0</v>
      </c>
      <c r="B210" s="36" t="s">
        <v>408</v>
      </c>
      <c r="C210" s="37" t="s">
        <v>172</v>
      </c>
      <c r="D210" s="37" t="s">
        <v>219</v>
      </c>
      <c r="E210" s="35">
        <v>0.0</v>
      </c>
    </row>
    <row r="211">
      <c r="A211" s="32">
        <v>210.0</v>
      </c>
      <c r="B211" s="36" t="s">
        <v>409</v>
      </c>
      <c r="C211" s="37" t="s">
        <v>172</v>
      </c>
      <c r="D211" s="37" t="s">
        <v>219</v>
      </c>
      <c r="E211" s="35">
        <v>0.0</v>
      </c>
    </row>
    <row r="212">
      <c r="A212" s="32">
        <v>211.0</v>
      </c>
      <c r="B212" s="36" t="s">
        <v>251</v>
      </c>
      <c r="C212" s="37" t="s">
        <v>88</v>
      </c>
      <c r="D212" s="37" t="s">
        <v>7</v>
      </c>
      <c r="E212" s="35">
        <v>0.0</v>
      </c>
    </row>
    <row r="213">
      <c r="A213" s="32">
        <v>212.0</v>
      </c>
      <c r="B213" s="36" t="s">
        <v>410</v>
      </c>
      <c r="C213" s="37" t="s">
        <v>172</v>
      </c>
      <c r="D213" s="37" t="s">
        <v>219</v>
      </c>
      <c r="E213" s="35">
        <v>0.0</v>
      </c>
    </row>
    <row r="214">
      <c r="A214" s="32">
        <v>213.0</v>
      </c>
      <c r="B214" s="36" t="s">
        <v>411</v>
      </c>
      <c r="C214" s="37" t="s">
        <v>172</v>
      </c>
      <c r="D214" s="37" t="s">
        <v>219</v>
      </c>
      <c r="E214" s="35">
        <v>0.0</v>
      </c>
    </row>
    <row r="215">
      <c r="A215" s="32">
        <v>214.0</v>
      </c>
      <c r="B215" s="36" t="s">
        <v>412</v>
      </c>
      <c r="C215" s="37" t="s">
        <v>75</v>
      </c>
      <c r="D215" s="37" t="s">
        <v>219</v>
      </c>
      <c r="E215" s="35">
        <v>0.0</v>
      </c>
    </row>
    <row r="216">
      <c r="A216" s="32">
        <v>215.0</v>
      </c>
      <c r="B216" s="36" t="s">
        <v>413</v>
      </c>
      <c r="C216" s="37" t="s">
        <v>172</v>
      </c>
      <c r="D216" s="37" t="s">
        <v>219</v>
      </c>
      <c r="E216" s="35">
        <v>0.0</v>
      </c>
    </row>
    <row r="217">
      <c r="A217" s="32">
        <v>216.0</v>
      </c>
      <c r="B217" s="36" t="s">
        <v>414</v>
      </c>
      <c r="C217" s="37" t="s">
        <v>172</v>
      </c>
      <c r="D217" s="37" t="s">
        <v>219</v>
      </c>
      <c r="E217" s="35">
        <v>0.0</v>
      </c>
    </row>
    <row r="218">
      <c r="A218" s="32">
        <v>217.0</v>
      </c>
      <c r="B218" s="36" t="s">
        <v>415</v>
      </c>
      <c r="C218" s="37" t="s">
        <v>172</v>
      </c>
      <c r="D218" s="37" t="s">
        <v>219</v>
      </c>
      <c r="E218" s="35">
        <v>0.0</v>
      </c>
    </row>
    <row r="219">
      <c r="A219" s="32">
        <v>218.0</v>
      </c>
      <c r="B219" s="36" t="s">
        <v>416</v>
      </c>
      <c r="C219" s="37" t="s">
        <v>95</v>
      </c>
      <c r="D219" s="37" t="s">
        <v>219</v>
      </c>
      <c r="E219" s="35">
        <v>0.0</v>
      </c>
    </row>
    <row r="220">
      <c r="A220" s="32">
        <v>219.0</v>
      </c>
      <c r="B220" s="36" t="s">
        <v>150</v>
      </c>
      <c r="C220" s="37" t="s">
        <v>15</v>
      </c>
      <c r="D220" s="37" t="s">
        <v>7</v>
      </c>
      <c r="E220" s="35">
        <v>0.0</v>
      </c>
    </row>
    <row r="221">
      <c r="A221" s="32">
        <v>220.0</v>
      </c>
      <c r="B221" s="36" t="s">
        <v>329</v>
      </c>
      <c r="C221" s="37" t="s">
        <v>72</v>
      </c>
      <c r="D221" s="37" t="s">
        <v>17</v>
      </c>
      <c r="E221" s="35">
        <v>0.0</v>
      </c>
    </row>
    <row r="222">
      <c r="A222" s="32">
        <v>221.0</v>
      </c>
      <c r="B222" s="36" t="s">
        <v>339</v>
      </c>
      <c r="C222" s="37" t="s">
        <v>21</v>
      </c>
      <c r="D222" s="37" t="s">
        <v>17</v>
      </c>
      <c r="E222" s="35">
        <v>0.0</v>
      </c>
    </row>
    <row r="223">
      <c r="A223" s="32">
        <v>222.0</v>
      </c>
      <c r="B223" s="36" t="s">
        <v>375</v>
      </c>
      <c r="C223" s="37" t="s">
        <v>70</v>
      </c>
      <c r="D223" s="37" t="s">
        <v>17</v>
      </c>
      <c r="E223" s="35">
        <v>0.0</v>
      </c>
    </row>
    <row r="224">
      <c r="A224" s="32">
        <v>223.0</v>
      </c>
      <c r="B224" s="36" t="s">
        <v>417</v>
      </c>
      <c r="C224" s="37" t="s">
        <v>72</v>
      </c>
      <c r="D224" s="37" t="s">
        <v>7</v>
      </c>
      <c r="E224" s="35">
        <v>0.0</v>
      </c>
    </row>
    <row r="225">
      <c r="A225" s="32">
        <v>224.0</v>
      </c>
      <c r="B225" s="36" t="s">
        <v>189</v>
      </c>
      <c r="C225" s="37" t="s">
        <v>15</v>
      </c>
      <c r="D225" s="37" t="s">
        <v>7</v>
      </c>
      <c r="E225" s="35">
        <v>0.0</v>
      </c>
    </row>
    <row r="226">
      <c r="A226" s="32">
        <v>225.0</v>
      </c>
      <c r="B226" s="36" t="s">
        <v>275</v>
      </c>
      <c r="C226" s="37" t="s">
        <v>53</v>
      </c>
      <c r="D226" s="37" t="s">
        <v>17</v>
      </c>
      <c r="E226" s="35">
        <v>0.0</v>
      </c>
    </row>
    <row r="227">
      <c r="A227" s="32">
        <v>226.0</v>
      </c>
      <c r="B227" s="36" t="s">
        <v>163</v>
      </c>
      <c r="C227" s="37" t="s">
        <v>23</v>
      </c>
      <c r="D227" s="37" t="s">
        <v>17</v>
      </c>
      <c r="E227" s="35">
        <v>0.0</v>
      </c>
    </row>
    <row r="228">
      <c r="A228" s="32">
        <v>227.0</v>
      </c>
      <c r="B228" s="36" t="s">
        <v>278</v>
      </c>
      <c r="C228" s="37" t="s">
        <v>30</v>
      </c>
      <c r="D228" s="37" t="s">
        <v>7</v>
      </c>
      <c r="E228" s="35">
        <v>0.0</v>
      </c>
    </row>
    <row r="229">
      <c r="A229" s="32">
        <v>228.0</v>
      </c>
      <c r="B229" s="36" t="s">
        <v>257</v>
      </c>
      <c r="C229" s="37" t="s">
        <v>95</v>
      </c>
      <c r="D229" s="37" t="s">
        <v>17</v>
      </c>
      <c r="E229" s="35">
        <v>0.0</v>
      </c>
    </row>
    <row r="230">
      <c r="A230" s="32">
        <v>229.0</v>
      </c>
      <c r="B230" s="36" t="s">
        <v>418</v>
      </c>
      <c r="C230" s="37" t="s">
        <v>41</v>
      </c>
      <c r="D230" s="37" t="s">
        <v>17</v>
      </c>
      <c r="E230" s="35">
        <v>0.0</v>
      </c>
    </row>
    <row r="231">
      <c r="A231" s="32">
        <v>230.0</v>
      </c>
      <c r="B231" s="36" t="s">
        <v>366</v>
      </c>
      <c r="C231" s="37" t="s">
        <v>123</v>
      </c>
      <c r="D231" s="37" t="s">
        <v>7</v>
      </c>
      <c r="E231" s="35">
        <v>0.0</v>
      </c>
    </row>
    <row r="232">
      <c r="A232" s="32">
        <v>231.0</v>
      </c>
      <c r="B232" s="36" t="s">
        <v>272</v>
      </c>
      <c r="C232" s="37" t="s">
        <v>65</v>
      </c>
      <c r="D232" s="37" t="s">
        <v>17</v>
      </c>
      <c r="E232" s="35">
        <v>0.0</v>
      </c>
    </row>
    <row r="233">
      <c r="A233" s="32">
        <v>232.0</v>
      </c>
      <c r="B233" s="36" t="s">
        <v>202</v>
      </c>
      <c r="C233" s="37" t="s">
        <v>60</v>
      </c>
      <c r="D233" s="37" t="s">
        <v>17</v>
      </c>
      <c r="E233" s="35">
        <v>0.0</v>
      </c>
    </row>
    <row r="234">
      <c r="A234" s="32">
        <v>233.0</v>
      </c>
      <c r="B234" s="36" t="s">
        <v>419</v>
      </c>
      <c r="C234" s="37" t="s">
        <v>21</v>
      </c>
      <c r="D234" s="37" t="s">
        <v>7</v>
      </c>
      <c r="E234" s="35">
        <v>0.0</v>
      </c>
    </row>
    <row r="235">
      <c r="A235" s="32">
        <v>234.0</v>
      </c>
      <c r="B235" s="36" t="s">
        <v>158</v>
      </c>
      <c r="C235" s="37" t="s">
        <v>53</v>
      </c>
      <c r="D235" s="37" t="s">
        <v>97</v>
      </c>
      <c r="E235" s="35">
        <v>0.0</v>
      </c>
    </row>
    <row r="236">
      <c r="A236" s="32">
        <v>235.0</v>
      </c>
      <c r="B236" s="36" t="s">
        <v>420</v>
      </c>
      <c r="C236" s="37" t="s">
        <v>30</v>
      </c>
      <c r="D236" s="37" t="s">
        <v>17</v>
      </c>
      <c r="E236" s="35">
        <v>0.0</v>
      </c>
    </row>
    <row r="237">
      <c r="A237" s="32">
        <v>236.0</v>
      </c>
      <c r="B237" s="36" t="s">
        <v>421</v>
      </c>
      <c r="C237" s="37" t="s">
        <v>26</v>
      </c>
      <c r="D237" s="37" t="s">
        <v>97</v>
      </c>
      <c r="E237" s="35">
        <v>0.0</v>
      </c>
    </row>
    <row r="238">
      <c r="A238" s="32">
        <v>237.0</v>
      </c>
      <c r="B238" s="36" t="s">
        <v>422</v>
      </c>
      <c r="C238" s="37" t="s">
        <v>72</v>
      </c>
      <c r="D238" s="37" t="s">
        <v>7</v>
      </c>
      <c r="E238" s="35">
        <v>0.0</v>
      </c>
    </row>
    <row r="239">
      <c r="A239" s="32">
        <v>238.0</v>
      </c>
      <c r="B239" s="36" t="s">
        <v>174</v>
      </c>
      <c r="C239" s="37" t="s">
        <v>45</v>
      </c>
      <c r="D239" s="37" t="s">
        <v>17</v>
      </c>
      <c r="E239" s="35">
        <v>0.0</v>
      </c>
    </row>
    <row r="240">
      <c r="A240" s="32">
        <v>239.0</v>
      </c>
      <c r="B240" s="36" t="s">
        <v>369</v>
      </c>
      <c r="C240" s="37" t="s">
        <v>21</v>
      </c>
      <c r="D240" s="37" t="s">
        <v>7</v>
      </c>
      <c r="E240" s="35">
        <v>0.0</v>
      </c>
    </row>
    <row r="241">
      <c r="A241" s="32">
        <v>240.0</v>
      </c>
      <c r="B241" s="36" t="s">
        <v>258</v>
      </c>
      <c r="C241" s="37" t="s">
        <v>39</v>
      </c>
      <c r="D241" s="37" t="s">
        <v>17</v>
      </c>
      <c r="E241" s="35">
        <v>0.0</v>
      </c>
    </row>
    <row r="242">
      <c r="A242" s="32">
        <v>241.0</v>
      </c>
      <c r="B242" s="36" t="s">
        <v>423</v>
      </c>
      <c r="C242" s="37" t="s">
        <v>6</v>
      </c>
      <c r="D242" s="37" t="s">
        <v>7</v>
      </c>
      <c r="E242" s="35">
        <v>0.0</v>
      </c>
    </row>
    <row r="243">
      <c r="A243" s="32">
        <v>242.0</v>
      </c>
      <c r="B243" s="36" t="s">
        <v>359</v>
      </c>
      <c r="C243" s="37" t="s">
        <v>75</v>
      </c>
      <c r="D243" s="37" t="s">
        <v>7</v>
      </c>
      <c r="E243" s="35">
        <v>0.0</v>
      </c>
    </row>
    <row r="244">
      <c r="A244" s="32">
        <v>243.0</v>
      </c>
      <c r="B244" s="36" t="s">
        <v>261</v>
      </c>
      <c r="C244" s="37" t="s">
        <v>13</v>
      </c>
      <c r="D244" s="37" t="s">
        <v>17</v>
      </c>
      <c r="E244" s="35">
        <v>0.0</v>
      </c>
    </row>
    <row r="245">
      <c r="A245" s="32">
        <v>244.0</v>
      </c>
      <c r="B245" s="36" t="s">
        <v>383</v>
      </c>
      <c r="C245" s="37" t="s">
        <v>51</v>
      </c>
      <c r="D245" s="37" t="s">
        <v>17</v>
      </c>
      <c r="E245" s="35">
        <v>0.0</v>
      </c>
    </row>
    <row r="246">
      <c r="A246" s="32">
        <v>245.0</v>
      </c>
      <c r="B246" s="36" t="s">
        <v>424</v>
      </c>
      <c r="C246" s="37" t="s">
        <v>32</v>
      </c>
      <c r="D246" s="37" t="s">
        <v>17</v>
      </c>
      <c r="E246" s="35">
        <v>0.0</v>
      </c>
    </row>
    <row r="247">
      <c r="A247" s="32">
        <v>246.0</v>
      </c>
      <c r="B247" s="36" t="s">
        <v>44</v>
      </c>
      <c r="C247" s="37" t="s">
        <v>45</v>
      </c>
      <c r="D247" s="37" t="s">
        <v>7</v>
      </c>
      <c r="E247" s="35">
        <v>0.0</v>
      </c>
    </row>
    <row r="248">
      <c r="A248" s="32">
        <v>247.0</v>
      </c>
      <c r="B248" s="36" t="s">
        <v>425</v>
      </c>
      <c r="C248" s="37" t="s">
        <v>95</v>
      </c>
      <c r="D248" s="37" t="s">
        <v>17</v>
      </c>
      <c r="E248" s="35">
        <v>0.0</v>
      </c>
    </row>
    <row r="249">
      <c r="A249" s="32">
        <v>248.0</v>
      </c>
      <c r="B249" s="36" t="s">
        <v>426</v>
      </c>
      <c r="C249" s="37" t="s">
        <v>23</v>
      </c>
      <c r="D249" s="37" t="s">
        <v>7</v>
      </c>
      <c r="E249" s="35">
        <v>0.0</v>
      </c>
    </row>
    <row r="250">
      <c r="A250" s="32">
        <v>249.0</v>
      </c>
      <c r="B250" s="36" t="s">
        <v>186</v>
      </c>
      <c r="C250" s="37" t="s">
        <v>63</v>
      </c>
      <c r="D250" s="37" t="s">
        <v>17</v>
      </c>
      <c r="E250" s="35">
        <v>0.0</v>
      </c>
    </row>
    <row r="251">
      <c r="A251" s="32">
        <v>250.0</v>
      </c>
      <c r="B251" s="36" t="s">
        <v>269</v>
      </c>
      <c r="C251" s="37" t="s">
        <v>88</v>
      </c>
      <c r="D251" s="37" t="s">
        <v>17</v>
      </c>
      <c r="E251" s="35">
        <v>0.0</v>
      </c>
    </row>
    <row r="252">
      <c r="A252" s="32">
        <v>251.0</v>
      </c>
      <c r="B252" s="36" t="s">
        <v>427</v>
      </c>
      <c r="C252" s="37" t="s">
        <v>65</v>
      </c>
      <c r="D252" s="37" t="s">
        <v>17</v>
      </c>
      <c r="E252" s="35">
        <v>0.0</v>
      </c>
    </row>
    <row r="253">
      <c r="A253" s="32">
        <v>252.0</v>
      </c>
      <c r="B253" s="36" t="s">
        <v>286</v>
      </c>
      <c r="C253" s="37" t="s">
        <v>19</v>
      </c>
      <c r="D253" s="37" t="s">
        <v>97</v>
      </c>
      <c r="E253" s="35">
        <v>0.0</v>
      </c>
    </row>
    <row r="254">
      <c r="A254" s="32">
        <v>253.0</v>
      </c>
      <c r="B254" s="36" t="s">
        <v>268</v>
      </c>
      <c r="C254" s="37" t="s">
        <v>67</v>
      </c>
      <c r="D254" s="37" t="s">
        <v>17</v>
      </c>
      <c r="E254" s="35">
        <v>0.0</v>
      </c>
    </row>
    <row r="255">
      <c r="A255" s="32">
        <v>254.0</v>
      </c>
      <c r="B255" s="36" t="s">
        <v>428</v>
      </c>
      <c r="C255" s="37" t="s">
        <v>47</v>
      </c>
      <c r="D255" s="37" t="s">
        <v>17</v>
      </c>
      <c r="E255" s="35">
        <v>0.0</v>
      </c>
    </row>
    <row r="256">
      <c r="A256" s="32">
        <v>255.0</v>
      </c>
      <c r="B256" s="36" t="s">
        <v>273</v>
      </c>
      <c r="C256" s="37" t="s">
        <v>34</v>
      </c>
      <c r="D256" s="37" t="s">
        <v>17</v>
      </c>
      <c r="E256" s="35">
        <v>0.0</v>
      </c>
    </row>
    <row r="257">
      <c r="A257" s="32">
        <v>256.0</v>
      </c>
      <c r="B257" s="36" t="s">
        <v>253</v>
      </c>
      <c r="C257" s="37" t="s">
        <v>53</v>
      </c>
      <c r="D257" s="37" t="s">
        <v>43</v>
      </c>
      <c r="E257" s="35">
        <v>0.0</v>
      </c>
    </row>
    <row r="258">
      <c r="A258" s="32">
        <v>257.0</v>
      </c>
      <c r="B258" s="36" t="s">
        <v>290</v>
      </c>
      <c r="C258" s="37" t="s">
        <v>23</v>
      </c>
      <c r="D258" s="37" t="s">
        <v>43</v>
      </c>
      <c r="E258" s="35">
        <v>0.0</v>
      </c>
    </row>
    <row r="259">
      <c r="A259" s="32">
        <v>258.0</v>
      </c>
      <c r="B259" s="36" t="s">
        <v>429</v>
      </c>
      <c r="C259" s="37" t="s">
        <v>41</v>
      </c>
      <c r="D259" s="37" t="s">
        <v>17</v>
      </c>
      <c r="E259" s="35">
        <v>0.0</v>
      </c>
    </row>
    <row r="260">
      <c r="A260" s="32">
        <v>259.0</v>
      </c>
      <c r="B260" s="36" t="s">
        <v>430</v>
      </c>
      <c r="C260" s="37" t="s">
        <v>77</v>
      </c>
      <c r="D260" s="37" t="s">
        <v>7</v>
      </c>
      <c r="E260" s="35">
        <v>0.0</v>
      </c>
    </row>
    <row r="261">
      <c r="A261" s="32">
        <v>260.0</v>
      </c>
      <c r="B261" s="36" t="s">
        <v>431</v>
      </c>
      <c r="C261" s="37" t="s">
        <v>49</v>
      </c>
      <c r="D261" s="37" t="s">
        <v>7</v>
      </c>
      <c r="E261" s="35">
        <v>0.0</v>
      </c>
    </row>
    <row r="262">
      <c r="A262" s="32">
        <v>261.0</v>
      </c>
      <c r="B262" s="36" t="s">
        <v>131</v>
      </c>
      <c r="C262" s="37" t="s">
        <v>123</v>
      </c>
      <c r="D262" s="37" t="s">
        <v>43</v>
      </c>
      <c r="E262" s="35">
        <v>0.0</v>
      </c>
    </row>
    <row r="263">
      <c r="A263" s="32">
        <v>262.0</v>
      </c>
      <c r="B263" s="36" t="s">
        <v>193</v>
      </c>
      <c r="C263" s="37" t="s">
        <v>123</v>
      </c>
      <c r="D263" s="37" t="s">
        <v>7</v>
      </c>
      <c r="E263" s="35">
        <v>0.0</v>
      </c>
    </row>
    <row r="264">
      <c r="A264" s="32">
        <v>263.0</v>
      </c>
      <c r="B264" s="36" t="s">
        <v>271</v>
      </c>
      <c r="C264" s="37" t="s">
        <v>70</v>
      </c>
      <c r="D264" s="37" t="s">
        <v>17</v>
      </c>
      <c r="E264" s="35">
        <v>0.0</v>
      </c>
    </row>
    <row r="265">
      <c r="A265" s="32">
        <v>264.0</v>
      </c>
      <c r="B265" s="36" t="s">
        <v>194</v>
      </c>
      <c r="C265" s="37" t="s">
        <v>123</v>
      </c>
      <c r="D265" s="37" t="s">
        <v>7</v>
      </c>
      <c r="E265" s="35">
        <v>0.0</v>
      </c>
    </row>
    <row r="266">
      <c r="A266" s="32">
        <v>265.0</v>
      </c>
      <c r="B266" s="36" t="s">
        <v>151</v>
      </c>
      <c r="C266" s="37" t="s">
        <v>67</v>
      </c>
      <c r="D266" s="37" t="s">
        <v>43</v>
      </c>
      <c r="E266" s="35">
        <v>0.0</v>
      </c>
    </row>
    <row r="267">
      <c r="A267" s="32">
        <v>266.0</v>
      </c>
      <c r="B267" s="36" t="s">
        <v>279</v>
      </c>
      <c r="C267" s="37" t="s">
        <v>9</v>
      </c>
      <c r="D267" s="37" t="s">
        <v>7</v>
      </c>
      <c r="E267" s="35">
        <v>0.0</v>
      </c>
    </row>
    <row r="268">
      <c r="A268" s="32">
        <v>267.0</v>
      </c>
      <c r="B268" s="36" t="s">
        <v>432</v>
      </c>
      <c r="C268" s="37" t="s">
        <v>45</v>
      </c>
      <c r="D268" s="37" t="s">
        <v>17</v>
      </c>
      <c r="E268" s="35">
        <v>0.0</v>
      </c>
    </row>
    <row r="269">
      <c r="A269" s="32">
        <v>268.0</v>
      </c>
      <c r="B269" s="36" t="s">
        <v>380</v>
      </c>
      <c r="C269" s="37" t="s">
        <v>49</v>
      </c>
      <c r="D269" s="37" t="s">
        <v>17</v>
      </c>
      <c r="E269" s="35">
        <v>0.0</v>
      </c>
    </row>
    <row r="270">
      <c r="A270" s="32">
        <v>269.0</v>
      </c>
      <c r="B270" s="36" t="s">
        <v>433</v>
      </c>
      <c r="C270" s="37" t="s">
        <v>21</v>
      </c>
      <c r="D270" s="37" t="s">
        <v>43</v>
      </c>
      <c r="E270" s="35">
        <v>0.0</v>
      </c>
    </row>
    <row r="271">
      <c r="A271" s="32">
        <v>270.0</v>
      </c>
      <c r="B271" s="36" t="s">
        <v>188</v>
      </c>
      <c r="C271" s="37" t="s">
        <v>15</v>
      </c>
      <c r="D271" s="37" t="s">
        <v>17</v>
      </c>
      <c r="E271" s="35">
        <v>0.0</v>
      </c>
    </row>
    <row r="272">
      <c r="A272" s="32">
        <v>271.0</v>
      </c>
      <c r="B272" s="36" t="s">
        <v>276</v>
      </c>
      <c r="C272" s="37" t="s">
        <v>95</v>
      </c>
      <c r="D272" s="37" t="s">
        <v>17</v>
      </c>
      <c r="E272" s="35">
        <v>0.0</v>
      </c>
    </row>
    <row r="273">
      <c r="A273" s="32">
        <v>272.0</v>
      </c>
      <c r="B273" s="36" t="s">
        <v>362</v>
      </c>
      <c r="C273" s="37" t="s">
        <v>21</v>
      </c>
      <c r="D273" s="37" t="s">
        <v>7</v>
      </c>
      <c r="E273" s="35">
        <v>0.0</v>
      </c>
    </row>
    <row r="274">
      <c r="A274" s="32">
        <v>273.0</v>
      </c>
      <c r="B274" s="36" t="s">
        <v>434</v>
      </c>
      <c r="C274" s="37" t="s">
        <v>77</v>
      </c>
      <c r="D274" s="37" t="s">
        <v>43</v>
      </c>
      <c r="E274" s="35">
        <v>0.0</v>
      </c>
    </row>
    <row r="275">
      <c r="A275" s="32">
        <v>274.0</v>
      </c>
      <c r="B275" s="36" t="s">
        <v>249</v>
      </c>
      <c r="C275" s="37" t="s">
        <v>95</v>
      </c>
      <c r="D275" s="37" t="s">
        <v>7</v>
      </c>
      <c r="E275" s="35">
        <v>0.0</v>
      </c>
    </row>
    <row r="276">
      <c r="A276" s="32">
        <v>275.0</v>
      </c>
      <c r="B276" s="36" t="s">
        <v>239</v>
      </c>
      <c r="C276" s="37" t="s">
        <v>60</v>
      </c>
      <c r="D276" s="37" t="s">
        <v>7</v>
      </c>
      <c r="E276" s="35">
        <v>0.0</v>
      </c>
    </row>
    <row r="277">
      <c r="A277" s="32">
        <v>276.0</v>
      </c>
      <c r="B277" s="36" t="s">
        <v>435</v>
      </c>
      <c r="C277" s="37" t="s">
        <v>15</v>
      </c>
      <c r="D277" s="37" t="s">
        <v>7</v>
      </c>
      <c r="E277" s="35">
        <v>0.0</v>
      </c>
    </row>
    <row r="278">
      <c r="A278" s="32">
        <v>277.0</v>
      </c>
      <c r="B278" s="36" t="s">
        <v>106</v>
      </c>
      <c r="C278" s="37" t="s">
        <v>41</v>
      </c>
      <c r="D278" s="37" t="s">
        <v>97</v>
      </c>
      <c r="E278" s="35">
        <v>0.0</v>
      </c>
    </row>
    <row r="279">
      <c r="A279" s="32">
        <v>278.0</v>
      </c>
      <c r="B279" s="36" t="s">
        <v>281</v>
      </c>
      <c r="C279" s="37" t="s">
        <v>30</v>
      </c>
      <c r="D279" s="37" t="s">
        <v>7</v>
      </c>
      <c r="E279" s="35">
        <v>0.0</v>
      </c>
    </row>
    <row r="280">
      <c r="A280" s="32">
        <v>279.0</v>
      </c>
      <c r="B280" s="36" t="s">
        <v>379</v>
      </c>
      <c r="C280" s="37" t="s">
        <v>11</v>
      </c>
      <c r="D280" s="37" t="s">
        <v>17</v>
      </c>
      <c r="E280" s="35">
        <v>0.0</v>
      </c>
    </row>
    <row r="281">
      <c r="A281" s="32">
        <v>280.0</v>
      </c>
      <c r="B281" s="36" t="s">
        <v>311</v>
      </c>
      <c r="C281" s="37" t="s">
        <v>123</v>
      </c>
      <c r="D281" s="37" t="s">
        <v>43</v>
      </c>
      <c r="E281" s="35">
        <v>0.0</v>
      </c>
    </row>
    <row r="282">
      <c r="A282" s="32">
        <v>281.0</v>
      </c>
      <c r="B282" s="36" t="s">
        <v>307</v>
      </c>
      <c r="C282" s="37" t="s">
        <v>45</v>
      </c>
      <c r="D282" s="37" t="s">
        <v>7</v>
      </c>
      <c r="E282" s="35">
        <v>0.0</v>
      </c>
    </row>
    <row r="283">
      <c r="A283" s="32">
        <v>282.0</v>
      </c>
      <c r="B283" s="36" t="s">
        <v>200</v>
      </c>
      <c r="C283" s="37" t="s">
        <v>72</v>
      </c>
      <c r="D283" s="37" t="s">
        <v>43</v>
      </c>
      <c r="E283" s="35">
        <v>0.0</v>
      </c>
    </row>
    <row r="284">
      <c r="A284" s="32">
        <v>283.0</v>
      </c>
      <c r="B284" s="36" t="s">
        <v>436</v>
      </c>
      <c r="C284" s="37" t="s">
        <v>11</v>
      </c>
      <c r="D284" s="37" t="s">
        <v>17</v>
      </c>
      <c r="E284" s="35">
        <v>0.0</v>
      </c>
    </row>
    <row r="285">
      <c r="A285" s="32">
        <v>284.0</v>
      </c>
      <c r="B285" s="36" t="s">
        <v>437</v>
      </c>
      <c r="C285" s="37" t="s">
        <v>63</v>
      </c>
      <c r="D285" s="37" t="s">
        <v>17</v>
      </c>
      <c r="E285" s="35">
        <v>0.0</v>
      </c>
    </row>
    <row r="286">
      <c r="A286" s="32">
        <v>285.0</v>
      </c>
      <c r="B286" s="36" t="s">
        <v>381</v>
      </c>
      <c r="C286" s="37" t="s">
        <v>53</v>
      </c>
      <c r="D286" s="37" t="s">
        <v>17</v>
      </c>
      <c r="E286" s="35">
        <v>0.0</v>
      </c>
    </row>
    <row r="287">
      <c r="A287" s="32">
        <v>286.0</v>
      </c>
      <c r="B287" s="36" t="s">
        <v>438</v>
      </c>
      <c r="C287" s="37" t="s">
        <v>51</v>
      </c>
      <c r="D287" s="37" t="s">
        <v>17</v>
      </c>
      <c r="E287" s="35">
        <v>0.0</v>
      </c>
    </row>
    <row r="288">
      <c r="A288" s="32">
        <v>287.0</v>
      </c>
      <c r="B288" s="36" t="s">
        <v>293</v>
      </c>
      <c r="C288" s="37" t="s">
        <v>19</v>
      </c>
      <c r="D288" s="37" t="s">
        <v>7</v>
      </c>
      <c r="E288" s="35">
        <v>0.0</v>
      </c>
    </row>
    <row r="289">
      <c r="A289" s="32">
        <v>288.0</v>
      </c>
      <c r="B289" s="36" t="s">
        <v>439</v>
      </c>
      <c r="C289" s="37" t="s">
        <v>65</v>
      </c>
      <c r="D289" s="37" t="s">
        <v>43</v>
      </c>
      <c r="E289" s="35">
        <v>0.0</v>
      </c>
    </row>
    <row r="290">
      <c r="A290" s="32">
        <v>289.0</v>
      </c>
      <c r="B290" s="36" t="s">
        <v>207</v>
      </c>
      <c r="C290" s="37" t="s">
        <v>30</v>
      </c>
      <c r="D290" s="37" t="s">
        <v>43</v>
      </c>
      <c r="E290" s="35">
        <v>0.0</v>
      </c>
    </row>
    <row r="291">
      <c r="A291" s="32">
        <v>290.0</v>
      </c>
      <c r="B291" s="36" t="s">
        <v>250</v>
      </c>
      <c r="C291" s="37" t="s">
        <v>19</v>
      </c>
      <c r="D291" s="37" t="s">
        <v>7</v>
      </c>
      <c r="E291" s="35">
        <v>0.0</v>
      </c>
    </row>
    <row r="292">
      <c r="A292" s="32">
        <v>291.0</v>
      </c>
      <c r="B292" s="36" t="s">
        <v>209</v>
      </c>
      <c r="C292" s="37" t="s">
        <v>49</v>
      </c>
      <c r="D292" s="37" t="s">
        <v>43</v>
      </c>
      <c r="E292" s="35">
        <v>0.0</v>
      </c>
    </row>
    <row r="293">
      <c r="A293" s="32">
        <v>292.0</v>
      </c>
      <c r="B293" s="36" t="s">
        <v>140</v>
      </c>
      <c r="C293" s="37" t="s">
        <v>32</v>
      </c>
      <c r="D293" s="37" t="s">
        <v>43</v>
      </c>
      <c r="E293" s="35">
        <v>0.0</v>
      </c>
    </row>
    <row r="294">
      <c r="A294" s="32">
        <v>293.0</v>
      </c>
      <c r="B294" s="36" t="s">
        <v>284</v>
      </c>
      <c r="C294" s="37" t="s">
        <v>13</v>
      </c>
      <c r="D294" s="37" t="s">
        <v>17</v>
      </c>
      <c r="E294" s="35">
        <v>0.0</v>
      </c>
    </row>
    <row r="295">
      <c r="A295" s="32">
        <v>294.0</v>
      </c>
      <c r="B295" s="36" t="s">
        <v>241</v>
      </c>
      <c r="C295" s="37" t="s">
        <v>6</v>
      </c>
      <c r="D295" s="37" t="s">
        <v>43</v>
      </c>
      <c r="E295" s="35">
        <v>0.0</v>
      </c>
    </row>
    <row r="296">
      <c r="A296" s="32">
        <v>295.0</v>
      </c>
      <c r="B296" s="36" t="s">
        <v>440</v>
      </c>
      <c r="C296" s="37" t="s">
        <v>72</v>
      </c>
      <c r="D296" s="37" t="s">
        <v>43</v>
      </c>
      <c r="E296" s="35">
        <v>0.0</v>
      </c>
    </row>
    <row r="297">
      <c r="A297" s="32">
        <v>296.0</v>
      </c>
      <c r="B297" s="36" t="s">
        <v>280</v>
      </c>
      <c r="C297" s="37" t="s">
        <v>65</v>
      </c>
      <c r="D297" s="37" t="s">
        <v>7</v>
      </c>
      <c r="E297" s="35">
        <v>0.0</v>
      </c>
    </row>
    <row r="298">
      <c r="A298" s="32">
        <v>297.0</v>
      </c>
      <c r="B298" s="36" t="s">
        <v>289</v>
      </c>
      <c r="C298" s="37" t="s">
        <v>11</v>
      </c>
      <c r="D298" s="37" t="s">
        <v>43</v>
      </c>
      <c r="E298" s="35">
        <v>0.0</v>
      </c>
    </row>
    <row r="299">
      <c r="A299" s="32">
        <v>298.0</v>
      </c>
      <c r="B299" s="36" t="s">
        <v>300</v>
      </c>
      <c r="C299" s="37" t="s">
        <v>6</v>
      </c>
      <c r="D299" s="37" t="s">
        <v>7</v>
      </c>
      <c r="E299" s="35">
        <v>0.0</v>
      </c>
    </row>
    <row r="300">
      <c r="A300" s="32">
        <v>299.0</v>
      </c>
      <c r="B300" s="36" t="s">
        <v>441</v>
      </c>
      <c r="C300" s="37" t="s">
        <v>72</v>
      </c>
      <c r="D300" s="37" t="s">
        <v>7</v>
      </c>
      <c r="E300" s="35">
        <v>0.0</v>
      </c>
    </row>
    <row r="301">
      <c r="A301" s="32">
        <v>300.0</v>
      </c>
      <c r="B301" s="36" t="s">
        <v>442</v>
      </c>
      <c r="C301" s="37" t="s">
        <v>53</v>
      </c>
      <c r="D301" s="37" t="s">
        <v>17</v>
      </c>
      <c r="E301" s="35">
        <v>0.0</v>
      </c>
    </row>
    <row r="302">
      <c r="A302" s="32">
        <v>301.0</v>
      </c>
      <c r="B302" s="36" t="s">
        <v>298</v>
      </c>
      <c r="C302" s="37" t="s">
        <v>88</v>
      </c>
      <c r="D302" s="37" t="s">
        <v>43</v>
      </c>
      <c r="E302" s="35">
        <v>0.0</v>
      </c>
    </row>
    <row r="303">
      <c r="A303" s="32">
        <v>302.0</v>
      </c>
      <c r="B303" s="36" t="s">
        <v>365</v>
      </c>
      <c r="C303" s="37" t="s">
        <v>9</v>
      </c>
      <c r="D303" s="37" t="s">
        <v>7</v>
      </c>
      <c r="E303" s="35">
        <v>0.0</v>
      </c>
    </row>
    <row r="304">
      <c r="A304" s="32">
        <v>303.0</v>
      </c>
      <c r="B304" s="36" t="s">
        <v>306</v>
      </c>
      <c r="C304" s="37" t="s">
        <v>63</v>
      </c>
      <c r="D304" s="37" t="s">
        <v>7</v>
      </c>
      <c r="E304" s="35">
        <v>0.0</v>
      </c>
    </row>
    <row r="305">
      <c r="A305" s="32">
        <v>304.0</v>
      </c>
      <c r="B305" s="36" t="s">
        <v>443</v>
      </c>
      <c r="C305" s="37" t="s">
        <v>88</v>
      </c>
      <c r="D305" s="37" t="s">
        <v>17</v>
      </c>
      <c r="E305" s="35">
        <v>0.0</v>
      </c>
    </row>
    <row r="306">
      <c r="A306" s="32">
        <v>305.0</v>
      </c>
      <c r="B306" s="36" t="s">
        <v>291</v>
      </c>
      <c r="C306" s="37" t="s">
        <v>45</v>
      </c>
      <c r="D306" s="37" t="s">
        <v>43</v>
      </c>
      <c r="E306" s="35">
        <v>0.0</v>
      </c>
    </row>
    <row r="307">
      <c r="A307" s="32">
        <v>306.0</v>
      </c>
      <c r="B307" s="36" t="s">
        <v>312</v>
      </c>
      <c r="C307" s="37" t="s">
        <v>39</v>
      </c>
      <c r="D307" s="37" t="s">
        <v>43</v>
      </c>
      <c r="E307" s="35">
        <v>0.0</v>
      </c>
    </row>
    <row r="308">
      <c r="A308" s="32">
        <v>307.0</v>
      </c>
      <c r="B308" s="36" t="s">
        <v>178</v>
      </c>
      <c r="C308" s="37" t="s">
        <v>39</v>
      </c>
      <c r="D308" s="37" t="s">
        <v>43</v>
      </c>
      <c r="E308" s="35">
        <v>0.0</v>
      </c>
    </row>
    <row r="309">
      <c r="A309" s="32">
        <v>308.0</v>
      </c>
      <c r="B309" s="36" t="s">
        <v>444</v>
      </c>
      <c r="C309" s="37" t="s">
        <v>60</v>
      </c>
      <c r="D309" s="37" t="s">
        <v>7</v>
      </c>
      <c r="E309" s="35">
        <v>0.0</v>
      </c>
    </row>
    <row r="310">
      <c r="A310" s="32">
        <v>309.0</v>
      </c>
      <c r="B310" s="36" t="s">
        <v>107</v>
      </c>
      <c r="C310" s="37" t="s">
        <v>60</v>
      </c>
      <c r="D310" s="37" t="s">
        <v>97</v>
      </c>
      <c r="E310" s="35">
        <v>0.0</v>
      </c>
    </row>
    <row r="311">
      <c r="A311" s="32">
        <v>310.0</v>
      </c>
      <c r="B311" s="36" t="s">
        <v>445</v>
      </c>
      <c r="C311" s="37" t="s">
        <v>15</v>
      </c>
      <c r="D311" s="37" t="s">
        <v>17</v>
      </c>
      <c r="E311" s="35">
        <v>0.0</v>
      </c>
    </row>
    <row r="312">
      <c r="A312" s="32">
        <v>311.0</v>
      </c>
      <c r="B312" s="36" t="s">
        <v>446</v>
      </c>
      <c r="C312" s="37" t="s">
        <v>172</v>
      </c>
      <c r="D312" s="37" t="s">
        <v>7</v>
      </c>
      <c r="E312" s="35">
        <v>0.0</v>
      </c>
    </row>
    <row r="313">
      <c r="A313" s="32">
        <v>312.0</v>
      </c>
      <c r="B313" s="36" t="s">
        <v>447</v>
      </c>
      <c r="C313" s="37" t="s">
        <v>9</v>
      </c>
      <c r="D313" s="37" t="s">
        <v>43</v>
      </c>
      <c r="E313" s="35">
        <v>0.0</v>
      </c>
    </row>
    <row r="314">
      <c r="A314" s="32">
        <v>313.0</v>
      </c>
      <c r="B314" s="36" t="s">
        <v>448</v>
      </c>
      <c r="C314" s="37" t="s">
        <v>172</v>
      </c>
      <c r="D314" s="37" t="s">
        <v>17</v>
      </c>
      <c r="E314" s="35">
        <v>0.0</v>
      </c>
    </row>
    <row r="315">
      <c r="A315" s="32">
        <v>314.0</v>
      </c>
      <c r="B315" s="36" t="s">
        <v>181</v>
      </c>
      <c r="C315" s="37" t="s">
        <v>123</v>
      </c>
      <c r="D315" s="37" t="s">
        <v>97</v>
      </c>
      <c r="E315" s="35">
        <v>0.0</v>
      </c>
    </row>
    <row r="316">
      <c r="A316" s="32">
        <v>315.0</v>
      </c>
      <c r="B316" s="36" t="s">
        <v>449</v>
      </c>
      <c r="C316" s="37" t="s">
        <v>172</v>
      </c>
      <c r="D316" s="37" t="s">
        <v>17</v>
      </c>
      <c r="E316" s="35">
        <v>0.0</v>
      </c>
    </row>
    <row r="317">
      <c r="A317" s="32">
        <v>316.0</v>
      </c>
      <c r="B317" s="36" t="s">
        <v>252</v>
      </c>
      <c r="C317" s="37" t="s">
        <v>13</v>
      </c>
      <c r="D317" s="37" t="s">
        <v>7</v>
      </c>
      <c r="E317" s="35">
        <v>0.0</v>
      </c>
    </row>
    <row r="318">
      <c r="A318" s="32">
        <v>317.0</v>
      </c>
      <c r="B318" s="36" t="s">
        <v>263</v>
      </c>
      <c r="C318" s="37" t="s">
        <v>45</v>
      </c>
      <c r="D318" s="37" t="s">
        <v>97</v>
      </c>
      <c r="E318" s="35">
        <v>0.0</v>
      </c>
    </row>
    <row r="319">
      <c r="A319" s="32">
        <v>318.0</v>
      </c>
      <c r="B319" s="36" t="s">
        <v>450</v>
      </c>
      <c r="C319" s="37" t="s">
        <v>65</v>
      </c>
      <c r="D319" s="37" t="s">
        <v>7</v>
      </c>
      <c r="E319" s="35">
        <v>0.0</v>
      </c>
    </row>
    <row r="320">
      <c r="A320" s="32">
        <v>319.0</v>
      </c>
      <c r="B320" s="36" t="s">
        <v>451</v>
      </c>
      <c r="C320" s="37" t="s">
        <v>6</v>
      </c>
      <c r="D320" s="37" t="s">
        <v>43</v>
      </c>
      <c r="E320" s="35">
        <v>0.0</v>
      </c>
    </row>
    <row r="321">
      <c r="A321" s="32">
        <v>320.0</v>
      </c>
      <c r="B321" s="36" t="s">
        <v>452</v>
      </c>
      <c r="C321" s="37" t="s">
        <v>95</v>
      </c>
      <c r="D321" s="37" t="s">
        <v>7</v>
      </c>
      <c r="E321" s="35">
        <v>0.0</v>
      </c>
    </row>
    <row r="322">
      <c r="A322" s="32">
        <v>321.0</v>
      </c>
      <c r="B322" s="36" t="s">
        <v>247</v>
      </c>
      <c r="C322" s="37" t="s">
        <v>11</v>
      </c>
      <c r="D322" s="37" t="s">
        <v>7</v>
      </c>
      <c r="E322" s="35">
        <v>0.0</v>
      </c>
    </row>
    <row r="323">
      <c r="A323" s="32">
        <v>322.0</v>
      </c>
      <c r="B323" s="36" t="s">
        <v>453</v>
      </c>
      <c r="C323" s="37" t="s">
        <v>26</v>
      </c>
      <c r="D323" s="37" t="s">
        <v>17</v>
      </c>
      <c r="E323" s="35">
        <v>0.0</v>
      </c>
    </row>
    <row r="324">
      <c r="A324" s="32">
        <v>323.0</v>
      </c>
      <c r="B324" s="36" t="s">
        <v>454</v>
      </c>
      <c r="C324" s="37" t="s">
        <v>28</v>
      </c>
      <c r="D324" s="37" t="s">
        <v>7</v>
      </c>
      <c r="E324" s="35">
        <v>0.0</v>
      </c>
    </row>
    <row r="325">
      <c r="A325" s="32">
        <v>324.0</v>
      </c>
      <c r="B325" s="36" t="s">
        <v>455</v>
      </c>
      <c r="C325" s="37" t="s">
        <v>41</v>
      </c>
      <c r="D325" s="37" t="s">
        <v>17</v>
      </c>
      <c r="E325" s="35">
        <v>0.0</v>
      </c>
    </row>
    <row r="326">
      <c r="A326" s="32">
        <v>325.0</v>
      </c>
      <c r="B326" s="36" t="s">
        <v>361</v>
      </c>
      <c r="C326" s="37" t="s">
        <v>72</v>
      </c>
      <c r="D326" s="37" t="s">
        <v>7</v>
      </c>
      <c r="E326" s="35">
        <v>0.0</v>
      </c>
    </row>
    <row r="327">
      <c r="A327" s="32">
        <v>326.0</v>
      </c>
      <c r="B327" s="36" t="s">
        <v>370</v>
      </c>
      <c r="C327" s="37" t="s">
        <v>53</v>
      </c>
      <c r="D327" s="37" t="s">
        <v>7</v>
      </c>
      <c r="E327" s="35">
        <v>0.0</v>
      </c>
    </row>
    <row r="328">
      <c r="A328" s="32">
        <v>327.0</v>
      </c>
      <c r="B328" s="36" t="s">
        <v>363</v>
      </c>
      <c r="C328" s="37" t="s">
        <v>53</v>
      </c>
      <c r="D328" s="37" t="s">
        <v>7</v>
      </c>
      <c r="E328" s="35">
        <v>0.0</v>
      </c>
    </row>
    <row r="329">
      <c r="A329" s="32">
        <v>328.0</v>
      </c>
      <c r="B329" s="36" t="s">
        <v>456</v>
      </c>
      <c r="C329" s="37" t="s">
        <v>75</v>
      </c>
      <c r="D329" s="37" t="s">
        <v>7</v>
      </c>
      <c r="E329" s="35">
        <v>0.0</v>
      </c>
    </row>
    <row r="330">
      <c r="A330" s="32">
        <v>329.0</v>
      </c>
      <c r="B330" s="36" t="s">
        <v>457</v>
      </c>
      <c r="C330" s="37" t="s">
        <v>53</v>
      </c>
      <c r="D330" s="37" t="s">
        <v>7</v>
      </c>
      <c r="E330" s="35">
        <v>0.0</v>
      </c>
    </row>
    <row r="331">
      <c r="A331" s="32">
        <v>330.0</v>
      </c>
      <c r="B331" s="36" t="s">
        <v>458</v>
      </c>
      <c r="C331" s="37" t="s">
        <v>28</v>
      </c>
      <c r="D331" s="37" t="s">
        <v>7</v>
      </c>
      <c r="E331" s="35">
        <v>0.0</v>
      </c>
    </row>
    <row r="332">
      <c r="A332" s="32">
        <v>331.0</v>
      </c>
      <c r="B332" s="36" t="s">
        <v>262</v>
      </c>
      <c r="C332" s="37" t="s">
        <v>39</v>
      </c>
      <c r="D332" s="37" t="s">
        <v>97</v>
      </c>
      <c r="E332" s="35">
        <v>0.0</v>
      </c>
    </row>
    <row r="333">
      <c r="A333" s="32">
        <v>332.0</v>
      </c>
      <c r="B333" s="36" t="s">
        <v>459</v>
      </c>
      <c r="C333" s="37" t="s">
        <v>75</v>
      </c>
      <c r="D333" s="37" t="s">
        <v>17</v>
      </c>
      <c r="E333" s="35">
        <v>0.0</v>
      </c>
    </row>
    <row r="334">
      <c r="A334" s="32">
        <v>333.0</v>
      </c>
      <c r="B334" s="36" t="s">
        <v>460</v>
      </c>
      <c r="C334" s="37" t="s">
        <v>67</v>
      </c>
      <c r="D334" s="37" t="s">
        <v>43</v>
      </c>
      <c r="E334" s="35">
        <v>0.0</v>
      </c>
    </row>
    <row r="335">
      <c r="A335" s="32">
        <v>334.0</v>
      </c>
      <c r="B335" s="36" t="s">
        <v>461</v>
      </c>
      <c r="C335" s="37" t="s">
        <v>51</v>
      </c>
      <c r="D335" s="37" t="s">
        <v>7</v>
      </c>
      <c r="E335" s="35">
        <v>0.0</v>
      </c>
    </row>
    <row r="336">
      <c r="A336" s="32">
        <v>335.0</v>
      </c>
      <c r="B336" s="36" t="s">
        <v>462</v>
      </c>
      <c r="C336" s="37" t="s">
        <v>51</v>
      </c>
      <c r="D336" s="37" t="s">
        <v>7</v>
      </c>
      <c r="E336" s="35">
        <v>0.0</v>
      </c>
    </row>
    <row r="337">
      <c r="A337" s="32">
        <v>336.0</v>
      </c>
      <c r="B337" s="36" t="s">
        <v>463</v>
      </c>
      <c r="C337" s="37" t="s">
        <v>51</v>
      </c>
      <c r="D337" s="37" t="s">
        <v>43</v>
      </c>
      <c r="E337" s="35">
        <v>0.0</v>
      </c>
    </row>
    <row r="338">
      <c r="A338" s="32">
        <v>337.0</v>
      </c>
      <c r="B338" s="36" t="s">
        <v>464</v>
      </c>
      <c r="C338" s="37" t="s">
        <v>88</v>
      </c>
      <c r="D338" s="37" t="s">
        <v>43</v>
      </c>
      <c r="E338" s="35">
        <v>0.0</v>
      </c>
    </row>
    <row r="339">
      <c r="A339" s="32">
        <v>338.0</v>
      </c>
      <c r="B339" s="36" t="s">
        <v>465</v>
      </c>
      <c r="C339" s="37" t="s">
        <v>60</v>
      </c>
      <c r="D339" s="37" t="s">
        <v>7</v>
      </c>
      <c r="E339" s="35">
        <v>0.0</v>
      </c>
    </row>
    <row r="340">
      <c r="A340" s="32">
        <v>339.0</v>
      </c>
      <c r="B340" s="36" t="s">
        <v>466</v>
      </c>
      <c r="C340" s="37" t="s">
        <v>95</v>
      </c>
      <c r="D340" s="37" t="s">
        <v>43</v>
      </c>
      <c r="E340" s="35">
        <v>0.0</v>
      </c>
    </row>
    <row r="341">
      <c r="A341" s="32">
        <v>340.0</v>
      </c>
      <c r="B341" s="36" t="s">
        <v>467</v>
      </c>
      <c r="C341" s="37" t="s">
        <v>23</v>
      </c>
      <c r="D341" s="37" t="s">
        <v>17</v>
      </c>
      <c r="E341" s="35">
        <v>0.0</v>
      </c>
    </row>
    <row r="342">
      <c r="A342" s="32">
        <v>341.0</v>
      </c>
      <c r="B342" s="36" t="s">
        <v>468</v>
      </c>
      <c r="C342" s="37" t="s">
        <v>65</v>
      </c>
      <c r="D342" s="37" t="s">
        <v>43</v>
      </c>
      <c r="E342" s="35">
        <v>0.0</v>
      </c>
    </row>
    <row r="343">
      <c r="A343" s="32">
        <v>342.0</v>
      </c>
      <c r="B343" s="36" t="s">
        <v>331</v>
      </c>
      <c r="C343" s="37" t="s">
        <v>21</v>
      </c>
      <c r="D343" s="37" t="s">
        <v>17</v>
      </c>
      <c r="E343" s="35">
        <v>0.0</v>
      </c>
    </row>
    <row r="344">
      <c r="A344" s="32">
        <v>343.0</v>
      </c>
      <c r="B344" s="36" t="s">
        <v>469</v>
      </c>
      <c r="C344" s="37" t="s">
        <v>28</v>
      </c>
      <c r="D344" s="37" t="s">
        <v>17</v>
      </c>
      <c r="E344" s="35">
        <v>0.0</v>
      </c>
    </row>
    <row r="345">
      <c r="A345" s="32">
        <v>344.0</v>
      </c>
      <c r="B345" s="36" t="s">
        <v>470</v>
      </c>
      <c r="C345" s="37" t="s">
        <v>6</v>
      </c>
      <c r="D345" s="37" t="s">
        <v>17</v>
      </c>
      <c r="E345" s="35">
        <v>0.0</v>
      </c>
    </row>
    <row r="346">
      <c r="A346" s="32">
        <v>345.0</v>
      </c>
      <c r="B346" s="36" t="s">
        <v>471</v>
      </c>
      <c r="C346" s="37" t="s">
        <v>83</v>
      </c>
      <c r="D346" s="37" t="s">
        <v>7</v>
      </c>
      <c r="E346" s="35">
        <v>0.0</v>
      </c>
    </row>
    <row r="347">
      <c r="A347" s="32">
        <v>346.0</v>
      </c>
      <c r="B347" s="36" t="s">
        <v>309</v>
      </c>
      <c r="C347" s="37" t="s">
        <v>63</v>
      </c>
      <c r="D347" s="37" t="s">
        <v>43</v>
      </c>
      <c r="E347" s="35">
        <v>0.0</v>
      </c>
    </row>
    <row r="348">
      <c r="A348" s="32">
        <v>347.0</v>
      </c>
      <c r="B348" s="36" t="s">
        <v>472</v>
      </c>
      <c r="C348" s="37" t="s">
        <v>6</v>
      </c>
      <c r="D348" s="37" t="s">
        <v>17</v>
      </c>
      <c r="E348" s="35">
        <v>0.0</v>
      </c>
    </row>
    <row r="349">
      <c r="A349" s="32">
        <v>348.0</v>
      </c>
      <c r="B349" s="36" t="s">
        <v>473</v>
      </c>
      <c r="C349" s="37" t="s">
        <v>26</v>
      </c>
      <c r="D349" s="37" t="s">
        <v>43</v>
      </c>
      <c r="E349" s="35">
        <v>0.0</v>
      </c>
    </row>
    <row r="350">
      <c r="A350" s="32">
        <v>349.0</v>
      </c>
      <c r="B350" s="36" t="s">
        <v>474</v>
      </c>
      <c r="C350" s="37" t="s">
        <v>95</v>
      </c>
      <c r="D350" s="37" t="s">
        <v>17</v>
      </c>
      <c r="E350" s="35">
        <v>0.0</v>
      </c>
    </row>
    <row r="351">
      <c r="A351" s="32">
        <v>350.0</v>
      </c>
      <c r="B351" s="36" t="s">
        <v>282</v>
      </c>
      <c r="C351" s="37" t="s">
        <v>26</v>
      </c>
      <c r="D351" s="37" t="s">
        <v>7</v>
      </c>
      <c r="E351" s="35">
        <v>0.0</v>
      </c>
    </row>
    <row r="352">
      <c r="A352" s="32">
        <v>351.0</v>
      </c>
      <c r="B352" s="36" t="s">
        <v>475</v>
      </c>
      <c r="C352" s="37" t="s">
        <v>172</v>
      </c>
      <c r="D352" s="37" t="s">
        <v>17</v>
      </c>
      <c r="E352" s="35">
        <v>0.0</v>
      </c>
    </row>
    <row r="353">
      <c r="A353" s="32">
        <v>352.0</v>
      </c>
      <c r="B353" s="36" t="s">
        <v>476</v>
      </c>
      <c r="C353" s="37" t="s">
        <v>63</v>
      </c>
      <c r="D353" s="37" t="s">
        <v>17</v>
      </c>
      <c r="E353" s="35">
        <v>0.0</v>
      </c>
    </row>
    <row r="354">
      <c r="A354" s="32">
        <v>353.0</v>
      </c>
      <c r="B354" s="36" t="s">
        <v>477</v>
      </c>
      <c r="C354" s="37" t="s">
        <v>60</v>
      </c>
      <c r="D354" s="37" t="s">
        <v>17</v>
      </c>
      <c r="E354" s="35">
        <v>0.0</v>
      </c>
    </row>
    <row r="355">
      <c r="A355" s="32">
        <v>354.0</v>
      </c>
      <c r="B355" s="36" t="s">
        <v>478</v>
      </c>
      <c r="C355" s="37" t="s">
        <v>172</v>
      </c>
      <c r="D355" s="37" t="s">
        <v>7</v>
      </c>
      <c r="E355" s="35">
        <v>0.0</v>
      </c>
    </row>
    <row r="356">
      <c r="A356" s="32">
        <v>355.0</v>
      </c>
      <c r="B356" s="36" t="s">
        <v>479</v>
      </c>
      <c r="C356" s="37" t="s">
        <v>60</v>
      </c>
      <c r="D356" s="37" t="s">
        <v>43</v>
      </c>
      <c r="E356" s="35">
        <v>0.0</v>
      </c>
    </row>
    <row r="357">
      <c r="A357" s="32">
        <v>356.0</v>
      </c>
      <c r="B357" s="36" t="s">
        <v>480</v>
      </c>
      <c r="C357" s="37" t="s">
        <v>72</v>
      </c>
      <c r="D357" s="37" t="s">
        <v>7</v>
      </c>
      <c r="E357" s="35">
        <v>0.0</v>
      </c>
    </row>
    <row r="358">
      <c r="A358" s="32">
        <v>357.0</v>
      </c>
      <c r="B358" s="36" t="s">
        <v>481</v>
      </c>
      <c r="C358" s="37" t="s">
        <v>53</v>
      </c>
      <c r="D358" s="37" t="s">
        <v>7</v>
      </c>
      <c r="E358" s="35">
        <v>0.0</v>
      </c>
    </row>
    <row r="359">
      <c r="A359" s="32">
        <v>358.0</v>
      </c>
      <c r="B359" s="36" t="s">
        <v>482</v>
      </c>
      <c r="C359" s="37" t="s">
        <v>75</v>
      </c>
      <c r="D359" s="37" t="s">
        <v>17</v>
      </c>
      <c r="E359" s="35">
        <v>0.0</v>
      </c>
    </row>
    <row r="360">
      <c r="A360" s="32">
        <v>359.0</v>
      </c>
      <c r="B360" s="36" t="s">
        <v>308</v>
      </c>
      <c r="C360" s="37" t="s">
        <v>172</v>
      </c>
      <c r="D360" s="37" t="s">
        <v>7</v>
      </c>
      <c r="E360" s="35">
        <v>0.0</v>
      </c>
    </row>
    <row r="361">
      <c r="A361" s="32">
        <v>360.0</v>
      </c>
      <c r="B361" s="36" t="s">
        <v>483</v>
      </c>
      <c r="C361" s="37" t="s">
        <v>65</v>
      </c>
      <c r="D361" s="37" t="s">
        <v>7</v>
      </c>
      <c r="E361" s="35">
        <v>0.0</v>
      </c>
    </row>
    <row r="362">
      <c r="A362" s="32">
        <v>361.0</v>
      </c>
      <c r="B362" s="36" t="s">
        <v>484</v>
      </c>
      <c r="C362" s="37" t="s">
        <v>19</v>
      </c>
      <c r="D362" s="37" t="s">
        <v>17</v>
      </c>
      <c r="E362" s="35">
        <v>0.0</v>
      </c>
    </row>
    <row r="363">
      <c r="A363" s="32">
        <v>362.0</v>
      </c>
      <c r="B363" s="36" t="s">
        <v>485</v>
      </c>
      <c r="C363" s="37" t="s">
        <v>77</v>
      </c>
      <c r="D363" s="37" t="s">
        <v>17</v>
      </c>
      <c r="E363" s="35">
        <v>0.0</v>
      </c>
    </row>
    <row r="364">
      <c r="A364" s="32">
        <v>363.0</v>
      </c>
      <c r="B364" s="36" t="s">
        <v>486</v>
      </c>
      <c r="C364" s="37" t="s">
        <v>51</v>
      </c>
      <c r="D364" s="37" t="s">
        <v>7</v>
      </c>
      <c r="E364" s="35">
        <v>0.0</v>
      </c>
    </row>
    <row r="365">
      <c r="A365" s="32">
        <v>364.0</v>
      </c>
      <c r="B365" s="36" t="s">
        <v>487</v>
      </c>
      <c r="C365" s="37" t="s">
        <v>28</v>
      </c>
      <c r="D365" s="37" t="s">
        <v>43</v>
      </c>
      <c r="E365" s="35">
        <v>0.0</v>
      </c>
    </row>
    <row r="366">
      <c r="A366" s="32">
        <v>365.0</v>
      </c>
      <c r="B366" s="36" t="s">
        <v>488</v>
      </c>
      <c r="C366" s="37" t="s">
        <v>32</v>
      </c>
      <c r="D366" s="37" t="s">
        <v>17</v>
      </c>
      <c r="E366" s="35">
        <v>0.0</v>
      </c>
    </row>
    <row r="367">
      <c r="A367" s="32">
        <v>366.0</v>
      </c>
      <c r="B367" s="36" t="s">
        <v>489</v>
      </c>
      <c r="C367" s="37" t="s">
        <v>39</v>
      </c>
      <c r="D367" s="37" t="s">
        <v>7</v>
      </c>
      <c r="E367" s="35">
        <v>0.0</v>
      </c>
    </row>
    <row r="368">
      <c r="A368" s="32">
        <v>367.0</v>
      </c>
      <c r="B368" s="36" t="s">
        <v>490</v>
      </c>
      <c r="C368" s="37" t="s">
        <v>13</v>
      </c>
      <c r="D368" s="37" t="s">
        <v>7</v>
      </c>
      <c r="E368" s="35">
        <v>0.0</v>
      </c>
    </row>
    <row r="369">
      <c r="A369" s="32">
        <v>368.0</v>
      </c>
      <c r="B369" s="36" t="s">
        <v>297</v>
      </c>
      <c r="C369" s="37" t="s">
        <v>9</v>
      </c>
      <c r="D369" s="37" t="s">
        <v>43</v>
      </c>
      <c r="E369" s="35">
        <v>0.0</v>
      </c>
    </row>
    <row r="370">
      <c r="A370" s="32">
        <v>369.0</v>
      </c>
      <c r="B370" s="36" t="s">
        <v>491</v>
      </c>
      <c r="C370" s="37" t="s">
        <v>172</v>
      </c>
      <c r="D370" s="37" t="s">
        <v>17</v>
      </c>
      <c r="E370" s="35">
        <v>0.0</v>
      </c>
    </row>
    <row r="371">
      <c r="A371" s="32">
        <v>370.0</v>
      </c>
      <c r="B371" s="36" t="s">
        <v>492</v>
      </c>
      <c r="C371" s="37" t="s">
        <v>47</v>
      </c>
      <c r="D371" s="37" t="s">
        <v>17</v>
      </c>
      <c r="E371" s="35">
        <v>0.0</v>
      </c>
    </row>
    <row r="372">
      <c r="A372" s="32">
        <v>371.0</v>
      </c>
      <c r="B372" s="36" t="s">
        <v>493</v>
      </c>
      <c r="C372" s="37" t="s">
        <v>60</v>
      </c>
      <c r="D372" s="37" t="s">
        <v>43</v>
      </c>
      <c r="E372" s="35">
        <v>0.0</v>
      </c>
    </row>
    <row r="373">
      <c r="A373" s="32">
        <v>372.0</v>
      </c>
      <c r="B373" s="36" t="s">
        <v>494</v>
      </c>
      <c r="C373" s="37" t="s">
        <v>95</v>
      </c>
      <c r="D373" s="37" t="s">
        <v>7</v>
      </c>
      <c r="E373" s="35">
        <v>0.0</v>
      </c>
    </row>
    <row r="374">
      <c r="A374" s="32">
        <v>373.0</v>
      </c>
      <c r="B374" s="36" t="s">
        <v>299</v>
      </c>
      <c r="C374" s="37" t="s">
        <v>72</v>
      </c>
      <c r="D374" s="37" t="s">
        <v>7</v>
      </c>
      <c r="E374" s="35">
        <v>0.0</v>
      </c>
    </row>
    <row r="375">
      <c r="A375" s="32">
        <v>374.0</v>
      </c>
      <c r="B375" s="36" t="s">
        <v>310</v>
      </c>
      <c r="C375" s="37" t="s">
        <v>34</v>
      </c>
      <c r="D375" s="37" t="s">
        <v>43</v>
      </c>
      <c r="E375" s="35">
        <v>0.0</v>
      </c>
    </row>
    <row r="376">
      <c r="A376" s="32">
        <v>375.0</v>
      </c>
      <c r="B376" s="36" t="s">
        <v>495</v>
      </c>
      <c r="C376" s="37" t="s">
        <v>26</v>
      </c>
      <c r="D376" s="37" t="s">
        <v>43</v>
      </c>
      <c r="E376" s="35">
        <v>0.0</v>
      </c>
    </row>
    <row r="377">
      <c r="A377" s="32">
        <v>376.0</v>
      </c>
      <c r="B377" s="36" t="s">
        <v>301</v>
      </c>
      <c r="C377" s="37" t="s">
        <v>63</v>
      </c>
      <c r="D377" s="37" t="s">
        <v>97</v>
      </c>
      <c r="E377" s="35">
        <v>0.0</v>
      </c>
    </row>
    <row r="378">
      <c r="A378" s="32">
        <v>377.0</v>
      </c>
      <c r="B378" s="36" t="s">
        <v>496</v>
      </c>
      <c r="C378" s="37" t="s">
        <v>172</v>
      </c>
      <c r="D378" s="37" t="s">
        <v>17</v>
      </c>
      <c r="E378" s="35">
        <v>0.0</v>
      </c>
    </row>
    <row r="379">
      <c r="A379" s="32">
        <v>378.0</v>
      </c>
      <c r="B379" s="36" t="s">
        <v>497</v>
      </c>
      <c r="C379" s="37" t="s">
        <v>83</v>
      </c>
      <c r="D379" s="37" t="s">
        <v>43</v>
      </c>
      <c r="E379" s="35">
        <v>0.0</v>
      </c>
    </row>
    <row r="380">
      <c r="A380" s="32">
        <v>379.0</v>
      </c>
      <c r="B380" s="36" t="s">
        <v>498</v>
      </c>
      <c r="C380" s="37" t="s">
        <v>13</v>
      </c>
      <c r="D380" s="37" t="s">
        <v>17</v>
      </c>
      <c r="E380" s="35">
        <v>0.0</v>
      </c>
    </row>
    <row r="381">
      <c r="A381" s="32">
        <v>380.0</v>
      </c>
      <c r="B381" s="36" t="s">
        <v>499</v>
      </c>
      <c r="C381" s="37" t="s">
        <v>11</v>
      </c>
      <c r="D381" s="37" t="s">
        <v>7</v>
      </c>
      <c r="E381" s="35">
        <v>0.0</v>
      </c>
    </row>
    <row r="382">
      <c r="A382" s="32">
        <v>381.0</v>
      </c>
      <c r="B382" s="36" t="s">
        <v>500</v>
      </c>
      <c r="C382" s="37" t="s">
        <v>172</v>
      </c>
      <c r="D382" s="37" t="s">
        <v>7</v>
      </c>
      <c r="E382" s="35">
        <v>0.0</v>
      </c>
    </row>
    <row r="383">
      <c r="A383" s="32">
        <v>382.0</v>
      </c>
      <c r="B383" s="36" t="s">
        <v>501</v>
      </c>
      <c r="C383" s="37" t="s">
        <v>70</v>
      </c>
      <c r="D383" s="37" t="s">
        <v>17</v>
      </c>
      <c r="E383" s="35">
        <v>0.0</v>
      </c>
    </row>
    <row r="384">
      <c r="A384" s="32">
        <v>383.0</v>
      </c>
      <c r="B384" s="36" t="s">
        <v>502</v>
      </c>
      <c r="C384" s="37" t="s">
        <v>49</v>
      </c>
      <c r="D384" s="37" t="s">
        <v>17</v>
      </c>
      <c r="E384" s="35">
        <v>0.0</v>
      </c>
    </row>
    <row r="385">
      <c r="A385" s="32">
        <v>384.0</v>
      </c>
      <c r="B385" s="36" t="s">
        <v>503</v>
      </c>
      <c r="C385" s="37" t="s">
        <v>45</v>
      </c>
      <c r="D385" s="37" t="s">
        <v>43</v>
      </c>
      <c r="E385" s="35">
        <v>0.0</v>
      </c>
    </row>
    <row r="386">
      <c r="A386" s="32">
        <v>385.0</v>
      </c>
      <c r="B386" s="36" t="s">
        <v>504</v>
      </c>
      <c r="C386" s="37" t="s">
        <v>172</v>
      </c>
      <c r="D386" s="37" t="s">
        <v>7</v>
      </c>
      <c r="E386" s="35">
        <v>0.0</v>
      </c>
    </row>
    <row r="387">
      <c r="A387" s="32">
        <v>386.0</v>
      </c>
      <c r="B387" s="36" t="s">
        <v>360</v>
      </c>
      <c r="C387" s="37" t="s">
        <v>70</v>
      </c>
      <c r="D387" s="37" t="s">
        <v>7</v>
      </c>
      <c r="E387" s="35">
        <v>0.0</v>
      </c>
    </row>
    <row r="388">
      <c r="A388" s="32">
        <v>387.0</v>
      </c>
      <c r="B388" s="36" t="s">
        <v>505</v>
      </c>
      <c r="C388" s="37" t="s">
        <v>9</v>
      </c>
      <c r="D388" s="37" t="s">
        <v>17</v>
      </c>
      <c r="E388" s="35">
        <v>0.0</v>
      </c>
    </row>
    <row r="389">
      <c r="A389" s="32">
        <v>388.0</v>
      </c>
      <c r="B389" s="36" t="s">
        <v>506</v>
      </c>
      <c r="C389" s="37" t="s">
        <v>47</v>
      </c>
      <c r="D389" s="37" t="s">
        <v>17</v>
      </c>
      <c r="E389" s="35">
        <v>0.0</v>
      </c>
    </row>
    <row r="390">
      <c r="A390" s="32">
        <v>389.0</v>
      </c>
      <c r="B390" s="36" t="s">
        <v>507</v>
      </c>
      <c r="C390" s="37" t="s">
        <v>172</v>
      </c>
      <c r="D390" s="37" t="s">
        <v>7</v>
      </c>
      <c r="E390" s="35">
        <v>0.0</v>
      </c>
    </row>
    <row r="391">
      <c r="A391" s="32">
        <v>390.0</v>
      </c>
      <c r="B391" s="36" t="s">
        <v>371</v>
      </c>
      <c r="C391" s="37" t="s">
        <v>41</v>
      </c>
      <c r="D391" s="37" t="s">
        <v>7</v>
      </c>
      <c r="E391" s="35">
        <v>0.0</v>
      </c>
    </row>
    <row r="392">
      <c r="A392" s="32">
        <v>391.0</v>
      </c>
      <c r="B392" s="36" t="s">
        <v>508</v>
      </c>
      <c r="C392" s="37" t="s">
        <v>11</v>
      </c>
      <c r="D392" s="37" t="s">
        <v>43</v>
      </c>
      <c r="E392" s="35">
        <v>0.0</v>
      </c>
    </row>
    <row r="393">
      <c r="A393" s="32">
        <v>392.0</v>
      </c>
      <c r="B393" s="36" t="s">
        <v>509</v>
      </c>
      <c r="C393" s="37" t="s">
        <v>47</v>
      </c>
      <c r="D393" s="37" t="s">
        <v>17</v>
      </c>
      <c r="E393" s="35">
        <v>0.0</v>
      </c>
    </row>
    <row r="394">
      <c r="A394" s="32">
        <v>393.0</v>
      </c>
      <c r="B394" s="36" t="s">
        <v>510</v>
      </c>
      <c r="C394" s="37" t="s">
        <v>60</v>
      </c>
      <c r="D394" s="37" t="s">
        <v>17</v>
      </c>
      <c r="E394" s="35">
        <v>0.0</v>
      </c>
    </row>
    <row r="395">
      <c r="A395" s="32">
        <v>394.0</v>
      </c>
      <c r="B395" s="36" t="s">
        <v>511</v>
      </c>
      <c r="C395" s="37" t="s">
        <v>60</v>
      </c>
      <c r="D395" s="37" t="s">
        <v>17</v>
      </c>
      <c r="E395" s="35">
        <v>0.0</v>
      </c>
    </row>
    <row r="396">
      <c r="A396" s="32">
        <v>395.0</v>
      </c>
      <c r="B396" s="36" t="s">
        <v>512</v>
      </c>
      <c r="C396" s="37" t="s">
        <v>83</v>
      </c>
      <c r="D396" s="37" t="s">
        <v>17</v>
      </c>
      <c r="E396" s="35">
        <v>0.0</v>
      </c>
    </row>
    <row r="397">
      <c r="A397" s="32">
        <v>396.0</v>
      </c>
      <c r="B397" s="36" t="s">
        <v>513</v>
      </c>
      <c r="C397" s="37" t="s">
        <v>70</v>
      </c>
      <c r="D397" s="37" t="s">
        <v>43</v>
      </c>
      <c r="E397" s="35">
        <v>0.0</v>
      </c>
    </row>
    <row r="398">
      <c r="A398" s="32">
        <v>397.0</v>
      </c>
      <c r="B398" s="36" t="s">
        <v>514</v>
      </c>
      <c r="C398" s="37" t="s">
        <v>172</v>
      </c>
      <c r="D398" s="37" t="s">
        <v>43</v>
      </c>
      <c r="E398" s="35">
        <v>0.0</v>
      </c>
    </row>
    <row r="399">
      <c r="A399" s="32">
        <v>398.0</v>
      </c>
      <c r="B399" s="36" t="s">
        <v>515</v>
      </c>
      <c r="C399" s="37" t="s">
        <v>47</v>
      </c>
      <c r="D399" s="37" t="s">
        <v>43</v>
      </c>
      <c r="E399" s="35">
        <v>0.0</v>
      </c>
    </row>
    <row r="400">
      <c r="A400" s="32">
        <v>399.0</v>
      </c>
      <c r="B400" s="36" t="s">
        <v>516</v>
      </c>
      <c r="C400" s="37" t="s">
        <v>47</v>
      </c>
      <c r="D400" s="37" t="s">
        <v>7</v>
      </c>
      <c r="E400" s="35">
        <v>0.0</v>
      </c>
    </row>
    <row r="401">
      <c r="A401" s="32">
        <v>400.0</v>
      </c>
      <c r="B401" s="36" t="s">
        <v>517</v>
      </c>
      <c r="C401" s="37" t="s">
        <v>21</v>
      </c>
      <c r="D401" s="37" t="s">
        <v>7</v>
      </c>
      <c r="E401" s="35">
        <v>0.0</v>
      </c>
    </row>
    <row r="402">
      <c r="A402" s="32">
        <v>401.0</v>
      </c>
      <c r="B402" s="36" t="s">
        <v>518</v>
      </c>
      <c r="C402" s="37" t="s">
        <v>26</v>
      </c>
      <c r="D402" s="37" t="s">
        <v>17</v>
      </c>
      <c r="E402" s="35">
        <v>0.0</v>
      </c>
    </row>
    <row r="403">
      <c r="A403" s="32">
        <v>402.0</v>
      </c>
      <c r="B403" s="36" t="s">
        <v>519</v>
      </c>
      <c r="C403" s="37" t="s">
        <v>72</v>
      </c>
      <c r="D403" s="37" t="s">
        <v>17</v>
      </c>
      <c r="E403" s="35">
        <v>0.0</v>
      </c>
    </row>
    <row r="404">
      <c r="A404" s="32">
        <v>403.0</v>
      </c>
      <c r="B404" s="36" t="s">
        <v>520</v>
      </c>
      <c r="C404" s="37" t="s">
        <v>30</v>
      </c>
      <c r="D404" s="37" t="s">
        <v>17</v>
      </c>
      <c r="E404" s="35">
        <v>0.0</v>
      </c>
    </row>
    <row r="405">
      <c r="A405" s="32">
        <v>404.0</v>
      </c>
      <c r="B405" s="36" t="s">
        <v>521</v>
      </c>
      <c r="C405" s="37" t="s">
        <v>47</v>
      </c>
      <c r="D405" s="37" t="s">
        <v>17</v>
      </c>
      <c r="E405" s="35">
        <v>0.0</v>
      </c>
    </row>
    <row r="406">
      <c r="A406" s="32">
        <v>405.0</v>
      </c>
      <c r="B406" s="36" t="s">
        <v>522</v>
      </c>
      <c r="C406" s="37" t="s">
        <v>123</v>
      </c>
      <c r="D406" s="37" t="s">
        <v>17</v>
      </c>
      <c r="E406" s="35">
        <v>0.0</v>
      </c>
    </row>
    <row r="407">
      <c r="A407" s="32">
        <v>406.0</v>
      </c>
      <c r="B407" s="36" t="s">
        <v>523</v>
      </c>
      <c r="C407" s="37" t="s">
        <v>9</v>
      </c>
      <c r="D407" s="37" t="s">
        <v>17</v>
      </c>
      <c r="E407" s="35">
        <v>0.0</v>
      </c>
    </row>
    <row r="408">
      <c r="A408" s="32">
        <v>407.0</v>
      </c>
      <c r="B408" s="36" t="s">
        <v>524</v>
      </c>
      <c r="C408" s="37" t="s">
        <v>83</v>
      </c>
      <c r="D408" s="37" t="s">
        <v>17</v>
      </c>
      <c r="E408" s="35">
        <v>0.0</v>
      </c>
    </row>
    <row r="409">
      <c r="A409" s="32">
        <v>408.0</v>
      </c>
      <c r="B409" s="36" t="s">
        <v>525</v>
      </c>
      <c r="C409" s="37" t="s">
        <v>60</v>
      </c>
      <c r="D409" s="37" t="s">
        <v>7</v>
      </c>
      <c r="E409" s="35">
        <v>0.0</v>
      </c>
    </row>
    <row r="410">
      <c r="A410" s="32">
        <v>409.0</v>
      </c>
      <c r="B410" s="36" t="s">
        <v>526</v>
      </c>
      <c r="C410" s="37" t="s">
        <v>88</v>
      </c>
      <c r="D410" s="37" t="s">
        <v>43</v>
      </c>
      <c r="E410" s="35">
        <v>0.0</v>
      </c>
    </row>
    <row r="411">
      <c r="A411" s="32">
        <v>410.0</v>
      </c>
      <c r="B411" s="36" t="s">
        <v>527</v>
      </c>
      <c r="C411" s="37" t="s">
        <v>41</v>
      </c>
      <c r="D411" s="37" t="s">
        <v>7</v>
      </c>
      <c r="E411" s="35">
        <v>0.0</v>
      </c>
    </row>
    <row r="412">
      <c r="A412" s="32">
        <v>411.0</v>
      </c>
      <c r="B412" s="36" t="s">
        <v>528</v>
      </c>
      <c r="C412" s="37" t="s">
        <v>172</v>
      </c>
      <c r="D412" s="37" t="s">
        <v>17</v>
      </c>
      <c r="E412" s="35">
        <v>0.0</v>
      </c>
    </row>
    <row r="413">
      <c r="A413" s="32">
        <v>412.0</v>
      </c>
      <c r="B413" s="36" t="s">
        <v>529</v>
      </c>
      <c r="C413" s="37" t="s">
        <v>53</v>
      </c>
      <c r="D413" s="37" t="s">
        <v>43</v>
      </c>
      <c r="E413" s="35">
        <v>0.0</v>
      </c>
    </row>
    <row r="414">
      <c r="A414" s="32">
        <v>413.0</v>
      </c>
      <c r="B414" s="36" t="s">
        <v>530</v>
      </c>
      <c r="C414" s="37" t="s">
        <v>19</v>
      </c>
      <c r="D414" s="37" t="s">
        <v>17</v>
      </c>
      <c r="E414" s="35">
        <v>0.0</v>
      </c>
    </row>
    <row r="415">
      <c r="A415" s="32">
        <v>414.0</v>
      </c>
      <c r="B415" s="36" t="s">
        <v>531</v>
      </c>
      <c r="C415" s="37" t="s">
        <v>172</v>
      </c>
      <c r="D415" s="37" t="s">
        <v>7</v>
      </c>
      <c r="E415" s="35">
        <v>0.0</v>
      </c>
    </row>
    <row r="416">
      <c r="A416" s="32">
        <v>415.0</v>
      </c>
      <c r="B416" s="36" t="s">
        <v>532</v>
      </c>
      <c r="C416" s="37" t="s">
        <v>172</v>
      </c>
      <c r="D416" s="37" t="s">
        <v>7</v>
      </c>
      <c r="E416" s="35">
        <v>0.0</v>
      </c>
    </row>
    <row r="417">
      <c r="A417" s="32">
        <v>416.0</v>
      </c>
      <c r="B417" s="36" t="s">
        <v>533</v>
      </c>
      <c r="C417" s="37" t="s">
        <v>51</v>
      </c>
      <c r="D417" s="37" t="s">
        <v>17</v>
      </c>
      <c r="E417" s="35">
        <v>0.0</v>
      </c>
    </row>
    <row r="418">
      <c r="A418" s="32">
        <v>417.0</v>
      </c>
      <c r="B418" s="36" t="s">
        <v>534</v>
      </c>
      <c r="C418" s="37" t="s">
        <v>32</v>
      </c>
      <c r="D418" s="37" t="s">
        <v>7</v>
      </c>
      <c r="E418" s="35">
        <v>0.0</v>
      </c>
    </row>
    <row r="419">
      <c r="A419" s="32">
        <v>418.0</v>
      </c>
      <c r="B419" s="36" t="s">
        <v>535</v>
      </c>
      <c r="C419" s="37" t="s">
        <v>70</v>
      </c>
      <c r="D419" s="37" t="s">
        <v>17</v>
      </c>
      <c r="E419" s="35">
        <v>0.0</v>
      </c>
    </row>
    <row r="420">
      <c r="A420" s="32">
        <v>419.0</v>
      </c>
      <c r="B420" s="36" t="s">
        <v>536</v>
      </c>
      <c r="C420" s="37" t="s">
        <v>72</v>
      </c>
      <c r="D420" s="37" t="s">
        <v>17</v>
      </c>
      <c r="E420" s="35">
        <v>0.0</v>
      </c>
    </row>
    <row r="421">
      <c r="A421" s="32">
        <v>420.0</v>
      </c>
      <c r="B421" s="36" t="s">
        <v>205</v>
      </c>
      <c r="C421" s="37" t="s">
        <v>13</v>
      </c>
      <c r="D421" s="37" t="s">
        <v>97</v>
      </c>
      <c r="E421" s="35">
        <v>0.0</v>
      </c>
    </row>
    <row r="422">
      <c r="A422" s="32">
        <v>421.0</v>
      </c>
      <c r="B422" s="36" t="s">
        <v>537</v>
      </c>
      <c r="C422" s="37" t="s">
        <v>26</v>
      </c>
      <c r="D422" s="37" t="s">
        <v>17</v>
      </c>
      <c r="E422" s="35">
        <v>0.0</v>
      </c>
    </row>
    <row r="423">
      <c r="A423" s="32">
        <v>422.0</v>
      </c>
      <c r="B423" s="36" t="s">
        <v>292</v>
      </c>
      <c r="C423" s="37" t="s">
        <v>172</v>
      </c>
      <c r="D423" s="37" t="s">
        <v>43</v>
      </c>
      <c r="E423" s="35">
        <v>0.0</v>
      </c>
    </row>
    <row r="424">
      <c r="A424" s="32">
        <v>423.0</v>
      </c>
      <c r="B424" s="36" t="s">
        <v>538</v>
      </c>
      <c r="C424" s="37" t="s">
        <v>15</v>
      </c>
      <c r="D424" s="37" t="s">
        <v>43</v>
      </c>
      <c r="E424" s="35">
        <v>0.0</v>
      </c>
    </row>
    <row r="425">
      <c r="A425" s="32">
        <v>424.0</v>
      </c>
      <c r="B425" s="36" t="s">
        <v>539</v>
      </c>
      <c r="C425" s="37" t="s">
        <v>21</v>
      </c>
      <c r="D425" s="37" t="s">
        <v>43</v>
      </c>
      <c r="E425" s="35">
        <v>0.0</v>
      </c>
    </row>
    <row r="426">
      <c r="A426" s="32">
        <v>425.0</v>
      </c>
      <c r="B426" s="36" t="s">
        <v>540</v>
      </c>
      <c r="C426" s="37" t="s">
        <v>13</v>
      </c>
      <c r="D426" s="37" t="s">
        <v>43</v>
      </c>
      <c r="E426" s="35">
        <v>0.0</v>
      </c>
    </row>
    <row r="427">
      <c r="A427" s="32">
        <v>426.0</v>
      </c>
      <c r="B427" s="36" t="s">
        <v>541</v>
      </c>
      <c r="C427" s="37" t="s">
        <v>172</v>
      </c>
      <c r="D427" s="37" t="s">
        <v>7</v>
      </c>
      <c r="E427" s="35">
        <v>0.0</v>
      </c>
    </row>
    <row r="428">
      <c r="A428" s="32">
        <v>427.0</v>
      </c>
      <c r="B428" s="36" t="s">
        <v>542</v>
      </c>
      <c r="C428" s="37" t="s">
        <v>77</v>
      </c>
      <c r="D428" s="37" t="s">
        <v>7</v>
      </c>
      <c r="E428" s="35">
        <v>0.0</v>
      </c>
    </row>
    <row r="429">
      <c r="A429" s="32">
        <v>428.0</v>
      </c>
      <c r="B429" s="36" t="s">
        <v>543</v>
      </c>
      <c r="C429" s="37" t="s">
        <v>6</v>
      </c>
      <c r="D429" s="37" t="s">
        <v>7</v>
      </c>
      <c r="E429" s="35">
        <v>0.0</v>
      </c>
    </row>
    <row r="430">
      <c r="A430" s="32">
        <v>429.0</v>
      </c>
      <c r="B430" s="36" t="s">
        <v>544</v>
      </c>
      <c r="C430" s="37" t="s">
        <v>172</v>
      </c>
      <c r="D430" s="37" t="s">
        <v>7</v>
      </c>
      <c r="E430" s="35">
        <v>0.0</v>
      </c>
    </row>
    <row r="431">
      <c r="A431" s="32">
        <v>430.0</v>
      </c>
      <c r="B431" s="36" t="s">
        <v>545</v>
      </c>
      <c r="C431" s="37" t="s">
        <v>67</v>
      </c>
      <c r="D431" s="37" t="s">
        <v>17</v>
      </c>
      <c r="E431" s="35">
        <v>0.0</v>
      </c>
    </row>
    <row r="432">
      <c r="A432" s="32">
        <v>431.0</v>
      </c>
      <c r="B432" s="36" t="s">
        <v>546</v>
      </c>
      <c r="C432" s="37" t="s">
        <v>88</v>
      </c>
      <c r="D432" s="37" t="s">
        <v>17</v>
      </c>
      <c r="E432" s="35">
        <v>0.0</v>
      </c>
    </row>
    <row r="433">
      <c r="A433" s="32">
        <v>432.0</v>
      </c>
      <c r="B433" s="36" t="s">
        <v>547</v>
      </c>
      <c r="C433" s="37" t="s">
        <v>67</v>
      </c>
      <c r="D433" s="37" t="s">
        <v>7</v>
      </c>
      <c r="E433" s="35">
        <v>0.0</v>
      </c>
    </row>
    <row r="434">
      <c r="A434" s="32">
        <v>433.0</v>
      </c>
      <c r="B434" s="36" t="s">
        <v>548</v>
      </c>
      <c r="C434" s="37" t="s">
        <v>6</v>
      </c>
      <c r="D434" s="37" t="s">
        <v>7</v>
      </c>
      <c r="E434" s="35">
        <v>0.0</v>
      </c>
    </row>
    <row r="435">
      <c r="A435" s="32">
        <v>434.0</v>
      </c>
      <c r="B435" s="36" t="s">
        <v>549</v>
      </c>
      <c r="C435" s="37" t="s">
        <v>21</v>
      </c>
      <c r="D435" s="37" t="s">
        <v>17</v>
      </c>
      <c r="E435" s="35">
        <v>0.0</v>
      </c>
    </row>
    <row r="436">
      <c r="A436" s="32">
        <v>435.0</v>
      </c>
      <c r="B436" s="36" t="s">
        <v>550</v>
      </c>
      <c r="C436" s="37" t="s">
        <v>123</v>
      </c>
      <c r="D436" s="37" t="s">
        <v>17</v>
      </c>
      <c r="E436" s="35">
        <v>0.0</v>
      </c>
    </row>
    <row r="437">
      <c r="A437" s="32">
        <v>436.0</v>
      </c>
      <c r="B437" s="36" t="s">
        <v>551</v>
      </c>
      <c r="C437" s="37" t="s">
        <v>65</v>
      </c>
      <c r="D437" s="37" t="s">
        <v>17</v>
      </c>
      <c r="E437" s="35">
        <v>0.0</v>
      </c>
    </row>
    <row r="438">
      <c r="A438" s="32">
        <v>437.0</v>
      </c>
      <c r="B438" s="36" t="s">
        <v>552</v>
      </c>
      <c r="C438" s="37" t="s">
        <v>77</v>
      </c>
      <c r="D438" s="37" t="s">
        <v>7</v>
      </c>
      <c r="E438" s="35">
        <v>0.0</v>
      </c>
    </row>
    <row r="439">
      <c r="A439" s="32">
        <v>438.0</v>
      </c>
      <c r="B439" s="36" t="s">
        <v>553</v>
      </c>
      <c r="C439" s="37" t="s">
        <v>32</v>
      </c>
      <c r="D439" s="37" t="s">
        <v>17</v>
      </c>
      <c r="E439" s="35">
        <v>0.0</v>
      </c>
    </row>
    <row r="440">
      <c r="A440" s="32">
        <v>439.0</v>
      </c>
      <c r="B440" s="36" t="s">
        <v>554</v>
      </c>
      <c r="C440" s="37" t="s">
        <v>172</v>
      </c>
      <c r="D440" s="37" t="s">
        <v>7</v>
      </c>
      <c r="E440" s="35">
        <v>0.0</v>
      </c>
    </row>
    <row r="441">
      <c r="A441" s="32">
        <v>440.0</v>
      </c>
      <c r="B441" s="36" t="s">
        <v>555</v>
      </c>
      <c r="C441" s="37" t="s">
        <v>51</v>
      </c>
      <c r="D441" s="37" t="s">
        <v>17</v>
      </c>
      <c r="E441" s="35">
        <v>0.0</v>
      </c>
    </row>
    <row r="442">
      <c r="A442" s="32">
        <v>441.0</v>
      </c>
      <c r="B442" s="36" t="s">
        <v>287</v>
      </c>
      <c r="C442" s="37" t="s">
        <v>49</v>
      </c>
      <c r="D442" s="37" t="s">
        <v>97</v>
      </c>
      <c r="E442" s="35">
        <v>0.0</v>
      </c>
    </row>
    <row r="443">
      <c r="A443" s="32">
        <v>442.0</v>
      </c>
      <c r="B443" s="36" t="s">
        <v>556</v>
      </c>
      <c r="C443" s="37" t="s">
        <v>47</v>
      </c>
      <c r="D443" s="37" t="s">
        <v>43</v>
      </c>
      <c r="E443" s="35">
        <v>0.0</v>
      </c>
    </row>
    <row r="444">
      <c r="A444" s="32">
        <v>443.0</v>
      </c>
      <c r="B444" s="36" t="s">
        <v>557</v>
      </c>
      <c r="C444" s="37" t="s">
        <v>63</v>
      </c>
      <c r="D444" s="37" t="s">
        <v>43</v>
      </c>
      <c r="E444" s="35">
        <v>0.0</v>
      </c>
    </row>
    <row r="445">
      <c r="A445" s="32">
        <v>444.0</v>
      </c>
      <c r="B445" s="36" t="s">
        <v>558</v>
      </c>
      <c r="C445" s="37" t="s">
        <v>88</v>
      </c>
      <c r="D445" s="37" t="s">
        <v>43</v>
      </c>
      <c r="E445" s="35">
        <v>0.0</v>
      </c>
    </row>
    <row r="446">
      <c r="A446" s="32">
        <v>445.0</v>
      </c>
      <c r="B446" s="36" t="s">
        <v>559</v>
      </c>
      <c r="C446" s="37" t="s">
        <v>63</v>
      </c>
      <c r="D446" s="37" t="s">
        <v>43</v>
      </c>
      <c r="E446" s="35">
        <v>0.0</v>
      </c>
    </row>
    <row r="447">
      <c r="A447" s="32">
        <v>446.0</v>
      </c>
      <c r="B447" s="36" t="s">
        <v>560</v>
      </c>
      <c r="C447" s="37" t="s">
        <v>15</v>
      </c>
      <c r="D447" s="37" t="s">
        <v>7</v>
      </c>
      <c r="E447" s="35">
        <v>0.0</v>
      </c>
    </row>
    <row r="448">
      <c r="A448" s="32">
        <v>447.0</v>
      </c>
      <c r="B448" s="36" t="s">
        <v>561</v>
      </c>
      <c r="C448" s="37" t="s">
        <v>21</v>
      </c>
      <c r="D448" s="37" t="s">
        <v>17</v>
      </c>
      <c r="E448" s="35">
        <v>0.0</v>
      </c>
    </row>
    <row r="449">
      <c r="A449" s="32">
        <v>448.0</v>
      </c>
      <c r="B449" s="36" t="s">
        <v>562</v>
      </c>
      <c r="C449" s="37" t="s">
        <v>53</v>
      </c>
      <c r="D449" s="37" t="s">
        <v>7</v>
      </c>
      <c r="E449" s="35">
        <v>0.0</v>
      </c>
    </row>
    <row r="450">
      <c r="A450" s="32">
        <v>449.0</v>
      </c>
      <c r="B450" s="36" t="s">
        <v>563</v>
      </c>
      <c r="C450" s="37" t="s">
        <v>67</v>
      </c>
      <c r="D450" s="37" t="s">
        <v>17</v>
      </c>
      <c r="E450" s="35">
        <v>0.0</v>
      </c>
    </row>
    <row r="451">
      <c r="A451" s="32">
        <v>450.0</v>
      </c>
      <c r="B451" s="36" t="s">
        <v>313</v>
      </c>
      <c r="C451" s="37" t="s">
        <v>13</v>
      </c>
      <c r="D451" s="37" t="s">
        <v>43</v>
      </c>
      <c r="E451" s="35">
        <v>0.0</v>
      </c>
    </row>
    <row r="452">
      <c r="A452" s="32">
        <v>451.0</v>
      </c>
      <c r="B452" s="36" t="s">
        <v>564</v>
      </c>
      <c r="C452" s="37" t="s">
        <v>45</v>
      </c>
      <c r="D452" s="37" t="s">
        <v>17</v>
      </c>
      <c r="E452" s="35">
        <v>0.0</v>
      </c>
    </row>
    <row r="453">
      <c r="A453" s="32">
        <v>452.0</v>
      </c>
      <c r="B453" s="36" t="s">
        <v>565</v>
      </c>
      <c r="C453" s="37" t="s">
        <v>88</v>
      </c>
      <c r="D453" s="37" t="s">
        <v>17</v>
      </c>
      <c r="E453" s="35">
        <v>0.0</v>
      </c>
    </row>
    <row r="454">
      <c r="A454" s="32">
        <v>453.0</v>
      </c>
      <c r="B454" s="36" t="s">
        <v>566</v>
      </c>
      <c r="C454" s="37" t="s">
        <v>26</v>
      </c>
      <c r="D454" s="37" t="s">
        <v>17</v>
      </c>
      <c r="E454" s="35">
        <v>0.0</v>
      </c>
    </row>
    <row r="455">
      <c r="A455" s="32">
        <v>454.0</v>
      </c>
      <c r="B455" s="36" t="s">
        <v>567</v>
      </c>
      <c r="C455" s="37" t="s">
        <v>11</v>
      </c>
      <c r="D455" s="37" t="s">
        <v>7</v>
      </c>
      <c r="E455" s="35">
        <v>0.0</v>
      </c>
    </row>
    <row r="456">
      <c r="A456" s="32">
        <v>455.0</v>
      </c>
      <c r="B456" s="36" t="s">
        <v>568</v>
      </c>
      <c r="C456" s="37" t="s">
        <v>63</v>
      </c>
      <c r="D456" s="37" t="s">
        <v>17</v>
      </c>
      <c r="E456" s="35">
        <v>0.0</v>
      </c>
    </row>
    <row r="457">
      <c r="A457" s="32">
        <v>456.0</v>
      </c>
      <c r="B457" s="36" t="s">
        <v>569</v>
      </c>
      <c r="C457" s="37" t="s">
        <v>88</v>
      </c>
      <c r="D457" s="37" t="s">
        <v>17</v>
      </c>
      <c r="E457" s="35">
        <v>0.0</v>
      </c>
    </row>
    <row r="458">
      <c r="A458" s="32">
        <v>457.0</v>
      </c>
      <c r="B458" s="36" t="s">
        <v>570</v>
      </c>
      <c r="C458" s="37" t="s">
        <v>19</v>
      </c>
      <c r="D458" s="37" t="s">
        <v>17</v>
      </c>
      <c r="E458" s="35">
        <v>0.0</v>
      </c>
    </row>
    <row r="459">
      <c r="A459" s="32">
        <v>458.0</v>
      </c>
      <c r="B459" s="36" t="s">
        <v>571</v>
      </c>
      <c r="C459" s="37" t="s">
        <v>172</v>
      </c>
      <c r="D459" s="37" t="s">
        <v>7</v>
      </c>
      <c r="E459" s="35">
        <v>0.0</v>
      </c>
    </row>
    <row r="460">
      <c r="A460" s="32">
        <v>459.0</v>
      </c>
      <c r="B460" s="36" t="s">
        <v>572</v>
      </c>
      <c r="C460" s="37" t="s">
        <v>60</v>
      </c>
      <c r="D460" s="37" t="s">
        <v>7</v>
      </c>
      <c r="E460" s="35">
        <v>0.0</v>
      </c>
    </row>
    <row r="461">
      <c r="A461" s="32">
        <v>460.0</v>
      </c>
      <c r="B461" s="36" t="s">
        <v>573</v>
      </c>
      <c r="C461" s="37" t="s">
        <v>95</v>
      </c>
      <c r="D461" s="37" t="s">
        <v>43</v>
      </c>
      <c r="E461" s="35">
        <v>0.0</v>
      </c>
    </row>
    <row r="462">
      <c r="A462" s="32">
        <v>461.0</v>
      </c>
      <c r="B462" s="36" t="s">
        <v>574</v>
      </c>
      <c r="C462" s="37" t="s">
        <v>172</v>
      </c>
      <c r="D462" s="37" t="s">
        <v>7</v>
      </c>
      <c r="E462" s="35">
        <v>0.0</v>
      </c>
    </row>
    <row r="463">
      <c r="A463" s="32">
        <v>462.0</v>
      </c>
      <c r="B463" s="36" t="s">
        <v>575</v>
      </c>
      <c r="C463" s="37" t="s">
        <v>70</v>
      </c>
      <c r="D463" s="37" t="s">
        <v>17</v>
      </c>
      <c r="E463" s="35">
        <v>0.0</v>
      </c>
    </row>
    <row r="464">
      <c r="A464" s="32">
        <v>463.0</v>
      </c>
      <c r="B464" s="36" t="s">
        <v>576</v>
      </c>
      <c r="C464" s="37" t="s">
        <v>19</v>
      </c>
      <c r="D464" s="37" t="s">
        <v>43</v>
      </c>
      <c r="E464" s="35">
        <v>0.0</v>
      </c>
    </row>
    <row r="465">
      <c r="A465" s="32">
        <v>464.0</v>
      </c>
      <c r="B465" s="36" t="s">
        <v>285</v>
      </c>
      <c r="C465" s="37" t="s">
        <v>49</v>
      </c>
      <c r="D465" s="37" t="s">
        <v>7</v>
      </c>
      <c r="E465" s="35">
        <v>0.0</v>
      </c>
    </row>
    <row r="466">
      <c r="A466" s="32">
        <v>465.0</v>
      </c>
      <c r="B466" s="36" t="s">
        <v>577</v>
      </c>
      <c r="C466" s="37" t="s">
        <v>172</v>
      </c>
      <c r="D466" s="37" t="s">
        <v>7</v>
      </c>
      <c r="E466" s="35">
        <v>0.0</v>
      </c>
    </row>
    <row r="467">
      <c r="A467" s="32">
        <v>466.0</v>
      </c>
      <c r="B467" s="36" t="s">
        <v>578</v>
      </c>
      <c r="C467" s="37" t="s">
        <v>41</v>
      </c>
      <c r="D467" s="37" t="s">
        <v>7</v>
      </c>
      <c r="E467" s="35">
        <v>0.0</v>
      </c>
    </row>
    <row r="468">
      <c r="A468" s="32">
        <v>467.0</v>
      </c>
      <c r="B468" s="36" t="s">
        <v>579</v>
      </c>
      <c r="C468" s="37" t="s">
        <v>19</v>
      </c>
      <c r="D468" s="37" t="s">
        <v>7</v>
      </c>
      <c r="E468" s="35">
        <v>0.0</v>
      </c>
    </row>
    <row r="469">
      <c r="A469" s="32">
        <v>468.0</v>
      </c>
      <c r="B469" s="36" t="s">
        <v>580</v>
      </c>
      <c r="C469" s="37" t="s">
        <v>172</v>
      </c>
      <c r="D469" s="37" t="s">
        <v>7</v>
      </c>
      <c r="E469" s="35">
        <v>0.0</v>
      </c>
    </row>
    <row r="470">
      <c r="A470" s="32">
        <v>469.0</v>
      </c>
      <c r="B470" s="36" t="s">
        <v>581</v>
      </c>
      <c r="C470" s="37" t="s">
        <v>77</v>
      </c>
      <c r="D470" s="37" t="s">
        <v>7</v>
      </c>
      <c r="E470" s="35">
        <v>0.0</v>
      </c>
    </row>
    <row r="471">
      <c r="A471" s="32">
        <v>470.0</v>
      </c>
      <c r="B471" s="36" t="s">
        <v>582</v>
      </c>
      <c r="C471" s="37" t="s">
        <v>34</v>
      </c>
      <c r="D471" s="37" t="s">
        <v>7</v>
      </c>
      <c r="E471" s="35">
        <v>0.0</v>
      </c>
    </row>
    <row r="472">
      <c r="A472" s="32">
        <v>471.0</v>
      </c>
      <c r="B472" s="36" t="s">
        <v>324</v>
      </c>
      <c r="C472" s="37" t="s">
        <v>123</v>
      </c>
      <c r="D472" s="37" t="s">
        <v>7</v>
      </c>
      <c r="E472" s="35">
        <v>0.0</v>
      </c>
    </row>
    <row r="473">
      <c r="A473" s="32">
        <v>472.0</v>
      </c>
      <c r="B473" s="36" t="s">
        <v>283</v>
      </c>
      <c r="C473" s="37" t="s">
        <v>39</v>
      </c>
      <c r="D473" s="37" t="s">
        <v>7</v>
      </c>
      <c r="E473" s="35">
        <v>0.0</v>
      </c>
    </row>
    <row r="474">
      <c r="A474" s="32">
        <v>473.0</v>
      </c>
      <c r="B474" s="36" t="s">
        <v>583</v>
      </c>
      <c r="C474" s="37" t="s">
        <v>172</v>
      </c>
      <c r="D474" s="37" t="s">
        <v>7</v>
      </c>
      <c r="E474" s="35">
        <v>0.0</v>
      </c>
    </row>
    <row r="475">
      <c r="A475" s="32">
        <v>474.0</v>
      </c>
      <c r="B475" s="36" t="s">
        <v>584</v>
      </c>
      <c r="C475" s="37" t="s">
        <v>95</v>
      </c>
      <c r="D475" s="37" t="s">
        <v>7</v>
      </c>
      <c r="E475" s="35">
        <v>0.0</v>
      </c>
    </row>
    <row r="476">
      <c r="A476" s="32">
        <v>475.0</v>
      </c>
      <c r="B476" s="36" t="s">
        <v>585</v>
      </c>
      <c r="C476" s="37" t="s">
        <v>63</v>
      </c>
      <c r="D476" s="37" t="s">
        <v>7</v>
      </c>
      <c r="E476" s="35">
        <v>0.0</v>
      </c>
    </row>
    <row r="477">
      <c r="A477" s="32">
        <v>476.0</v>
      </c>
      <c r="B477" s="36" t="s">
        <v>586</v>
      </c>
      <c r="C477" s="37" t="s">
        <v>51</v>
      </c>
      <c r="D477" s="37" t="s">
        <v>43</v>
      </c>
      <c r="E477" s="35">
        <v>0.0</v>
      </c>
    </row>
    <row r="478">
      <c r="A478" s="32">
        <v>477.0</v>
      </c>
      <c r="B478" s="36" t="s">
        <v>587</v>
      </c>
      <c r="C478" s="37" t="s">
        <v>172</v>
      </c>
      <c r="D478" s="37" t="s">
        <v>17</v>
      </c>
      <c r="E478" s="35">
        <v>0.0</v>
      </c>
    </row>
    <row r="479">
      <c r="A479" s="32">
        <v>478.0</v>
      </c>
      <c r="B479" s="36" t="s">
        <v>588</v>
      </c>
      <c r="C479" s="37" t="s">
        <v>39</v>
      </c>
      <c r="D479" s="37" t="s">
        <v>17</v>
      </c>
      <c r="E479" s="35">
        <v>0.0</v>
      </c>
    </row>
    <row r="480">
      <c r="A480" s="32">
        <v>479.0</v>
      </c>
      <c r="B480" s="36" t="s">
        <v>589</v>
      </c>
      <c r="C480" s="37" t="s">
        <v>95</v>
      </c>
      <c r="D480" s="37" t="s">
        <v>17</v>
      </c>
      <c r="E480" s="35">
        <v>0.0</v>
      </c>
    </row>
    <row r="481">
      <c r="A481" s="32">
        <v>480.0</v>
      </c>
      <c r="B481" s="36" t="s">
        <v>590</v>
      </c>
      <c r="C481" s="37" t="s">
        <v>13</v>
      </c>
      <c r="D481" s="37" t="s">
        <v>17</v>
      </c>
      <c r="E481" s="35">
        <v>0.0</v>
      </c>
    </row>
    <row r="482">
      <c r="A482" s="32">
        <v>481.0</v>
      </c>
      <c r="B482" s="36" t="s">
        <v>591</v>
      </c>
      <c r="C482" s="37" t="s">
        <v>75</v>
      </c>
      <c r="D482" s="37" t="s">
        <v>17</v>
      </c>
      <c r="E482" s="35">
        <v>0.0</v>
      </c>
    </row>
    <row r="483">
      <c r="A483" s="32">
        <v>482.0</v>
      </c>
      <c r="B483" s="36" t="s">
        <v>592</v>
      </c>
      <c r="C483" s="37" t="s">
        <v>123</v>
      </c>
      <c r="D483" s="37" t="s">
        <v>17</v>
      </c>
      <c r="E483" s="35">
        <v>0.0</v>
      </c>
    </row>
    <row r="484">
      <c r="A484" s="32">
        <v>483.0</v>
      </c>
      <c r="B484" s="36" t="s">
        <v>593</v>
      </c>
      <c r="C484" s="37" t="s">
        <v>30</v>
      </c>
      <c r="D484" s="37" t="s">
        <v>43</v>
      </c>
      <c r="E484" s="35">
        <v>0.0</v>
      </c>
    </row>
    <row r="485">
      <c r="A485" s="32">
        <v>484.0</v>
      </c>
      <c r="B485" s="36" t="s">
        <v>594</v>
      </c>
      <c r="C485" s="37" t="s">
        <v>77</v>
      </c>
      <c r="D485" s="37" t="s">
        <v>43</v>
      </c>
      <c r="E485" s="35">
        <v>0.0</v>
      </c>
    </row>
    <row r="486">
      <c r="A486" s="32">
        <v>485.0</v>
      </c>
      <c r="B486" s="36" t="s">
        <v>595</v>
      </c>
      <c r="C486" s="37" t="s">
        <v>41</v>
      </c>
      <c r="D486" s="37" t="s">
        <v>43</v>
      </c>
      <c r="E486" s="35">
        <v>0.0</v>
      </c>
    </row>
    <row r="487">
      <c r="A487" s="32">
        <v>486.0</v>
      </c>
      <c r="B487" s="36" t="s">
        <v>596</v>
      </c>
      <c r="C487" s="37" t="s">
        <v>30</v>
      </c>
      <c r="D487" s="37" t="s">
        <v>43</v>
      </c>
      <c r="E487" s="35">
        <v>0.0</v>
      </c>
    </row>
    <row r="488">
      <c r="A488" s="32">
        <v>487.0</v>
      </c>
      <c r="B488" s="36" t="s">
        <v>296</v>
      </c>
      <c r="C488" s="37" t="s">
        <v>26</v>
      </c>
      <c r="D488" s="37" t="s">
        <v>43</v>
      </c>
      <c r="E488" s="35">
        <v>0.0</v>
      </c>
    </row>
    <row r="489">
      <c r="A489" s="32">
        <v>488.0</v>
      </c>
      <c r="B489" s="36" t="s">
        <v>597</v>
      </c>
      <c r="C489" s="37" t="s">
        <v>51</v>
      </c>
      <c r="D489" s="37" t="s">
        <v>17</v>
      </c>
      <c r="E489" s="35">
        <v>0.0</v>
      </c>
    </row>
    <row r="490">
      <c r="A490" s="32">
        <v>489.0</v>
      </c>
      <c r="B490" s="36" t="s">
        <v>598</v>
      </c>
      <c r="C490" s="37" t="s">
        <v>28</v>
      </c>
      <c r="D490" s="37" t="s">
        <v>17</v>
      </c>
      <c r="E490" s="35">
        <v>0.0</v>
      </c>
    </row>
    <row r="491">
      <c r="A491" s="32">
        <v>490.0</v>
      </c>
      <c r="B491" s="36" t="s">
        <v>599</v>
      </c>
      <c r="C491" s="37" t="s">
        <v>39</v>
      </c>
      <c r="D491" s="37" t="s">
        <v>17</v>
      </c>
      <c r="E491" s="35">
        <v>0.0</v>
      </c>
    </row>
    <row r="492">
      <c r="A492" s="32">
        <v>491.0</v>
      </c>
      <c r="B492" s="36" t="s">
        <v>600</v>
      </c>
      <c r="C492" s="37" t="s">
        <v>95</v>
      </c>
      <c r="D492" s="37" t="s">
        <v>17</v>
      </c>
      <c r="E492" s="35">
        <v>0.0</v>
      </c>
    </row>
    <row r="493">
      <c r="A493" s="32">
        <v>492.0</v>
      </c>
      <c r="B493" s="36" t="s">
        <v>601</v>
      </c>
      <c r="C493" s="37" t="s">
        <v>95</v>
      </c>
      <c r="D493" s="37" t="s">
        <v>43</v>
      </c>
      <c r="E493" s="35">
        <v>0.0</v>
      </c>
    </row>
    <row r="494">
      <c r="A494" s="32">
        <v>493.0</v>
      </c>
      <c r="B494" s="36" t="s">
        <v>602</v>
      </c>
      <c r="C494" s="37" t="s">
        <v>6</v>
      </c>
      <c r="D494" s="37" t="s">
        <v>17</v>
      </c>
      <c r="E494" s="35">
        <v>0.0</v>
      </c>
    </row>
    <row r="495">
      <c r="A495" s="32">
        <v>494.0</v>
      </c>
      <c r="B495" s="36" t="s">
        <v>603</v>
      </c>
      <c r="C495" s="37" t="s">
        <v>60</v>
      </c>
      <c r="D495" s="37" t="s">
        <v>17</v>
      </c>
      <c r="E495" s="35">
        <v>0.0</v>
      </c>
    </row>
    <row r="496">
      <c r="A496" s="32">
        <v>495.0</v>
      </c>
      <c r="B496" s="36" t="s">
        <v>604</v>
      </c>
      <c r="C496" s="37" t="s">
        <v>15</v>
      </c>
      <c r="D496" s="37" t="s">
        <v>17</v>
      </c>
      <c r="E496" s="35">
        <v>0.0</v>
      </c>
    </row>
    <row r="497">
      <c r="A497" s="32">
        <v>496.0</v>
      </c>
      <c r="B497" s="36" t="s">
        <v>605</v>
      </c>
      <c r="C497" s="37" t="s">
        <v>70</v>
      </c>
      <c r="D497" s="37" t="s">
        <v>17</v>
      </c>
      <c r="E497" s="35">
        <v>0.0</v>
      </c>
    </row>
    <row r="498">
      <c r="A498" s="32">
        <v>497.0</v>
      </c>
      <c r="B498" s="36" t="s">
        <v>606</v>
      </c>
      <c r="C498" s="37" t="s">
        <v>23</v>
      </c>
      <c r="D498" s="37" t="s">
        <v>17</v>
      </c>
      <c r="E498" s="35">
        <v>0.0</v>
      </c>
    </row>
    <row r="499">
      <c r="A499" s="32">
        <v>498.0</v>
      </c>
      <c r="B499" s="36" t="s">
        <v>607</v>
      </c>
      <c r="C499" s="37" t="s">
        <v>70</v>
      </c>
      <c r="D499" s="37" t="s">
        <v>17</v>
      </c>
      <c r="E499" s="35">
        <v>0.0</v>
      </c>
    </row>
    <row r="500">
      <c r="A500" s="32">
        <v>499.0</v>
      </c>
      <c r="B500" s="36" t="s">
        <v>608</v>
      </c>
      <c r="C500" s="37" t="s">
        <v>67</v>
      </c>
      <c r="D500" s="37" t="s">
        <v>17</v>
      </c>
      <c r="E500" s="35">
        <v>0.0</v>
      </c>
    </row>
    <row r="501">
      <c r="A501" s="32">
        <v>500.0</v>
      </c>
      <c r="B501" s="36" t="s">
        <v>609</v>
      </c>
      <c r="C501" s="37" t="s">
        <v>75</v>
      </c>
      <c r="D501" s="37" t="s">
        <v>43</v>
      </c>
      <c r="E501" s="35">
        <v>0.0</v>
      </c>
    </row>
    <row r="502">
      <c r="A502" s="32">
        <v>501.0</v>
      </c>
      <c r="B502" s="36" t="s">
        <v>610</v>
      </c>
      <c r="C502" s="37" t="s">
        <v>172</v>
      </c>
      <c r="D502" s="37" t="s">
        <v>43</v>
      </c>
      <c r="E502" s="35">
        <v>0.0</v>
      </c>
    </row>
    <row r="503">
      <c r="A503" s="32">
        <v>502.0</v>
      </c>
      <c r="B503" s="36" t="s">
        <v>611</v>
      </c>
      <c r="C503" s="37" t="s">
        <v>23</v>
      </c>
      <c r="D503" s="37" t="s">
        <v>17</v>
      </c>
      <c r="E503" s="35">
        <v>0.0</v>
      </c>
    </row>
    <row r="504">
      <c r="A504" s="32">
        <v>503.0</v>
      </c>
      <c r="B504" s="36" t="s">
        <v>612</v>
      </c>
      <c r="C504" s="37" t="s">
        <v>172</v>
      </c>
      <c r="D504" s="37" t="s">
        <v>43</v>
      </c>
      <c r="E504" s="35">
        <v>0.0</v>
      </c>
    </row>
    <row r="505">
      <c r="A505" s="32">
        <v>504.0</v>
      </c>
      <c r="B505" s="36" t="s">
        <v>613</v>
      </c>
      <c r="C505" s="37" t="s">
        <v>34</v>
      </c>
      <c r="D505" s="37" t="s">
        <v>17</v>
      </c>
      <c r="E505" s="35">
        <v>0.0</v>
      </c>
    </row>
    <row r="506">
      <c r="A506" s="32">
        <v>505.0</v>
      </c>
      <c r="B506" s="36" t="s">
        <v>614</v>
      </c>
      <c r="C506" s="37" t="s">
        <v>6</v>
      </c>
      <c r="D506" s="37" t="s">
        <v>17</v>
      </c>
      <c r="E506" s="35">
        <v>0.0</v>
      </c>
    </row>
    <row r="507">
      <c r="A507" s="32">
        <v>506.0</v>
      </c>
      <c r="B507" s="36" t="s">
        <v>615</v>
      </c>
      <c r="C507" s="37" t="s">
        <v>67</v>
      </c>
      <c r="D507" s="37" t="s">
        <v>17</v>
      </c>
      <c r="E507" s="35">
        <v>0.0</v>
      </c>
    </row>
    <row r="508">
      <c r="A508" s="32">
        <v>507.0</v>
      </c>
      <c r="B508" s="36" t="s">
        <v>616</v>
      </c>
      <c r="C508" s="37" t="s">
        <v>95</v>
      </c>
      <c r="D508" s="37" t="s">
        <v>17</v>
      </c>
      <c r="E508" s="35">
        <v>0.0</v>
      </c>
    </row>
    <row r="509">
      <c r="A509" s="32">
        <v>508.0</v>
      </c>
      <c r="B509" s="36" t="s">
        <v>617</v>
      </c>
      <c r="C509" s="37" t="s">
        <v>75</v>
      </c>
      <c r="D509" s="37" t="s">
        <v>17</v>
      </c>
      <c r="E509" s="35">
        <v>0.0</v>
      </c>
    </row>
    <row r="510">
      <c r="A510" s="32">
        <v>509.0</v>
      </c>
      <c r="B510" s="36" t="s">
        <v>618</v>
      </c>
      <c r="C510" s="37" t="s">
        <v>123</v>
      </c>
      <c r="D510" s="37" t="s">
        <v>43</v>
      </c>
      <c r="E510" s="35">
        <v>0.0</v>
      </c>
    </row>
    <row r="511">
      <c r="A511" s="32">
        <v>510.0</v>
      </c>
      <c r="B511" s="36" t="s">
        <v>619</v>
      </c>
      <c r="C511" s="37" t="s">
        <v>65</v>
      </c>
      <c r="D511" s="37" t="s">
        <v>43</v>
      </c>
      <c r="E511" s="35">
        <v>0.0</v>
      </c>
    </row>
    <row r="512">
      <c r="A512" s="32">
        <v>511.0</v>
      </c>
      <c r="B512" s="36" t="s">
        <v>620</v>
      </c>
      <c r="C512" s="37" t="s">
        <v>15</v>
      </c>
      <c r="D512" s="37" t="s">
        <v>43</v>
      </c>
      <c r="E512" s="35">
        <v>0.0</v>
      </c>
    </row>
    <row r="513">
      <c r="A513" s="32">
        <v>512.0</v>
      </c>
      <c r="B513" s="36" t="s">
        <v>621</v>
      </c>
      <c r="C513" s="37" t="s">
        <v>172</v>
      </c>
      <c r="D513" s="37" t="s">
        <v>43</v>
      </c>
      <c r="E513" s="35">
        <v>0.0</v>
      </c>
    </row>
    <row r="514">
      <c r="A514" s="32">
        <v>513.0</v>
      </c>
      <c r="B514" s="36" t="s">
        <v>622</v>
      </c>
      <c r="C514" s="37" t="s">
        <v>32</v>
      </c>
      <c r="D514" s="37" t="s">
        <v>43</v>
      </c>
      <c r="E514" s="35">
        <v>0.0</v>
      </c>
    </row>
    <row r="515">
      <c r="A515" s="32">
        <v>514.0</v>
      </c>
      <c r="B515" s="36" t="s">
        <v>211</v>
      </c>
      <c r="C515" s="37" t="s">
        <v>51</v>
      </c>
      <c r="D515" s="37" t="s">
        <v>97</v>
      </c>
      <c r="E515" s="35">
        <v>0.0</v>
      </c>
    </row>
    <row r="516">
      <c r="A516" s="32">
        <v>515.0</v>
      </c>
      <c r="B516" s="36" t="s">
        <v>623</v>
      </c>
      <c r="C516" s="37" t="s">
        <v>67</v>
      </c>
      <c r="D516" s="37" t="s">
        <v>43</v>
      </c>
      <c r="E516" s="35">
        <v>0.0</v>
      </c>
    </row>
    <row r="517">
      <c r="A517" s="32">
        <v>516.0</v>
      </c>
      <c r="B517" s="36" t="s">
        <v>624</v>
      </c>
      <c r="C517" s="37" t="s">
        <v>45</v>
      </c>
      <c r="D517" s="37" t="s">
        <v>43</v>
      </c>
      <c r="E517" s="35">
        <v>0.0</v>
      </c>
    </row>
    <row r="518">
      <c r="A518" s="32">
        <v>517.0</v>
      </c>
      <c r="B518" s="36" t="s">
        <v>625</v>
      </c>
      <c r="C518" s="37" t="s">
        <v>6</v>
      </c>
      <c r="D518" s="37" t="s">
        <v>43</v>
      </c>
      <c r="E518" s="35">
        <v>0.0</v>
      </c>
    </row>
    <row r="519">
      <c r="A519" s="32">
        <v>518.0</v>
      </c>
      <c r="B519" s="36" t="s">
        <v>626</v>
      </c>
      <c r="C519" s="37" t="s">
        <v>26</v>
      </c>
      <c r="D519" s="37" t="s">
        <v>43</v>
      </c>
      <c r="E519" s="35">
        <v>0.0</v>
      </c>
    </row>
    <row r="520">
      <c r="A520" s="32">
        <v>519.0</v>
      </c>
      <c r="B520" s="36" t="s">
        <v>627</v>
      </c>
      <c r="C520" s="37" t="s">
        <v>53</v>
      </c>
      <c r="D520" s="37" t="s">
        <v>17</v>
      </c>
      <c r="E520" s="35">
        <v>0.0</v>
      </c>
    </row>
    <row r="521">
      <c r="A521" s="32">
        <v>520.0</v>
      </c>
      <c r="B521" s="36" t="s">
        <v>628</v>
      </c>
      <c r="C521" s="37" t="s">
        <v>172</v>
      </c>
      <c r="D521" s="37" t="s">
        <v>17</v>
      </c>
      <c r="E521" s="35">
        <v>0.0</v>
      </c>
    </row>
    <row r="522">
      <c r="A522" s="32">
        <v>521.0</v>
      </c>
      <c r="B522" s="36" t="s">
        <v>629</v>
      </c>
      <c r="C522" s="37" t="s">
        <v>88</v>
      </c>
      <c r="D522" s="37" t="s">
        <v>17</v>
      </c>
      <c r="E522" s="35">
        <v>0.0</v>
      </c>
    </row>
    <row r="523">
      <c r="A523" s="32">
        <v>522.0</v>
      </c>
      <c r="B523" s="36" t="s">
        <v>630</v>
      </c>
      <c r="C523" s="37" t="s">
        <v>172</v>
      </c>
      <c r="D523" s="37" t="s">
        <v>43</v>
      </c>
      <c r="E523" s="35">
        <v>0.0</v>
      </c>
    </row>
    <row r="524">
      <c r="A524" s="32">
        <v>523.0</v>
      </c>
      <c r="B524" s="36" t="s">
        <v>631</v>
      </c>
      <c r="C524" s="37" t="s">
        <v>172</v>
      </c>
      <c r="D524" s="37" t="s">
        <v>43</v>
      </c>
      <c r="E524" s="35">
        <v>0.0</v>
      </c>
    </row>
    <row r="525">
      <c r="A525" s="32">
        <v>524.0</v>
      </c>
      <c r="B525" s="36" t="s">
        <v>632</v>
      </c>
      <c r="C525" s="37" t="s">
        <v>34</v>
      </c>
      <c r="D525" s="37" t="s">
        <v>43</v>
      </c>
      <c r="E525" s="35">
        <v>0.0</v>
      </c>
    </row>
    <row r="526">
      <c r="A526" s="32">
        <v>525.0</v>
      </c>
      <c r="B526" s="36" t="s">
        <v>326</v>
      </c>
      <c r="C526" s="37" t="s">
        <v>34</v>
      </c>
      <c r="D526" s="37" t="s">
        <v>43</v>
      </c>
      <c r="E526" s="35">
        <v>0.0</v>
      </c>
    </row>
    <row r="527">
      <c r="A527" s="32">
        <v>526.0</v>
      </c>
      <c r="B527" s="36" t="s">
        <v>302</v>
      </c>
      <c r="C527" s="37" t="s">
        <v>30</v>
      </c>
      <c r="D527" s="37" t="s">
        <v>97</v>
      </c>
      <c r="E527" s="35">
        <v>0.0</v>
      </c>
    </row>
    <row r="528">
      <c r="A528" s="32">
        <v>527.0</v>
      </c>
      <c r="B528" s="36" t="s">
        <v>182</v>
      </c>
      <c r="C528" s="37" t="s">
        <v>83</v>
      </c>
      <c r="D528" s="37" t="s">
        <v>97</v>
      </c>
      <c r="E528" s="35">
        <v>0.0</v>
      </c>
    </row>
    <row r="529">
      <c r="A529" s="32">
        <v>528.0</v>
      </c>
      <c r="B529" s="36" t="s">
        <v>322</v>
      </c>
      <c r="C529" s="37" t="s">
        <v>70</v>
      </c>
      <c r="D529" s="37" t="s">
        <v>97</v>
      </c>
      <c r="E529" s="35">
        <v>0.0</v>
      </c>
    </row>
    <row r="530">
      <c r="A530" s="32">
        <v>529.0</v>
      </c>
      <c r="B530" s="36" t="s">
        <v>316</v>
      </c>
      <c r="C530" s="37" t="s">
        <v>95</v>
      </c>
      <c r="D530" s="37" t="s">
        <v>97</v>
      </c>
      <c r="E530" s="35">
        <v>0.0</v>
      </c>
    </row>
    <row r="531">
      <c r="A531" s="32">
        <v>530.0</v>
      </c>
      <c r="B531" s="36" t="s">
        <v>317</v>
      </c>
      <c r="C531" s="37" t="s">
        <v>11</v>
      </c>
      <c r="D531" s="37" t="s">
        <v>97</v>
      </c>
      <c r="E531" s="35">
        <v>0.0</v>
      </c>
    </row>
    <row r="532">
      <c r="A532" s="32">
        <v>531.0</v>
      </c>
      <c r="B532" s="36" t="s">
        <v>320</v>
      </c>
      <c r="C532" s="37" t="s">
        <v>67</v>
      </c>
      <c r="D532" s="37" t="s">
        <v>97</v>
      </c>
      <c r="E532" s="35">
        <v>0.0</v>
      </c>
    </row>
    <row r="533">
      <c r="A533" s="32">
        <v>532.0</v>
      </c>
      <c r="B533" s="36" t="s">
        <v>303</v>
      </c>
      <c r="C533" s="37" t="s">
        <v>88</v>
      </c>
      <c r="D533" s="37" t="s">
        <v>97</v>
      </c>
      <c r="E533" s="35">
        <v>0.0</v>
      </c>
    </row>
    <row r="534">
      <c r="A534" s="32">
        <v>533.0</v>
      </c>
      <c r="B534" s="36" t="s">
        <v>255</v>
      </c>
      <c r="C534" s="37" t="s">
        <v>67</v>
      </c>
      <c r="D534" s="37" t="s">
        <v>97</v>
      </c>
      <c r="E534" s="35">
        <v>0.0</v>
      </c>
    </row>
    <row r="535">
      <c r="A535" s="32">
        <v>534.0</v>
      </c>
      <c r="B535" s="36" t="s">
        <v>304</v>
      </c>
      <c r="C535" s="37" t="s">
        <v>11</v>
      </c>
      <c r="D535" s="37" t="s">
        <v>97</v>
      </c>
      <c r="E535" s="35">
        <v>0.0</v>
      </c>
    </row>
    <row r="536">
      <c r="A536" s="32">
        <v>535.0</v>
      </c>
      <c r="B536" s="36" t="s">
        <v>321</v>
      </c>
      <c r="C536" s="37" t="s">
        <v>60</v>
      </c>
      <c r="D536" s="37" t="s">
        <v>97</v>
      </c>
      <c r="E536" s="35">
        <v>0.0</v>
      </c>
    </row>
    <row r="537">
      <c r="A537" s="32">
        <v>536.0</v>
      </c>
      <c r="B537" s="36" t="s">
        <v>315</v>
      </c>
      <c r="C537" s="37" t="s">
        <v>88</v>
      </c>
      <c r="D537" s="37" t="s">
        <v>97</v>
      </c>
      <c r="E537" s="35">
        <v>0.0</v>
      </c>
    </row>
    <row r="538">
      <c r="A538" s="32">
        <v>537.0</v>
      </c>
      <c r="B538" s="36" t="s">
        <v>314</v>
      </c>
      <c r="C538" s="37" t="s">
        <v>70</v>
      </c>
      <c r="D538" s="37" t="s">
        <v>97</v>
      </c>
      <c r="E538" s="35">
        <v>0.0</v>
      </c>
    </row>
    <row r="539">
      <c r="A539" s="32">
        <v>538.0</v>
      </c>
      <c r="B539" s="36" t="s">
        <v>319</v>
      </c>
      <c r="C539" s="37" t="s">
        <v>49</v>
      </c>
      <c r="D539" s="37" t="s">
        <v>97</v>
      </c>
      <c r="E539" s="35">
        <v>0.0</v>
      </c>
    </row>
    <row r="540">
      <c r="A540" s="32">
        <v>539.0</v>
      </c>
      <c r="B540" s="36" t="s">
        <v>305</v>
      </c>
      <c r="C540" s="37" t="s">
        <v>95</v>
      </c>
      <c r="D540" s="37" t="s">
        <v>97</v>
      </c>
      <c r="E540" s="35">
        <v>0.0</v>
      </c>
    </row>
    <row r="541">
      <c r="A541" s="32">
        <v>540.0</v>
      </c>
      <c r="B541" s="36" t="s">
        <v>633</v>
      </c>
      <c r="C541" s="37" t="s">
        <v>70</v>
      </c>
      <c r="D541" s="37" t="s">
        <v>97</v>
      </c>
      <c r="E541" s="35">
        <v>0.0</v>
      </c>
    </row>
    <row r="542">
      <c r="A542" s="32">
        <v>541.0</v>
      </c>
      <c r="B542" s="36" t="s">
        <v>634</v>
      </c>
      <c r="C542" s="37" t="s">
        <v>95</v>
      </c>
      <c r="D542" s="37" t="s">
        <v>97</v>
      </c>
      <c r="E542" s="35">
        <v>0.0</v>
      </c>
    </row>
    <row r="543">
      <c r="A543" s="32">
        <v>542.0</v>
      </c>
      <c r="B543" s="36" t="s">
        <v>332</v>
      </c>
      <c r="C543" s="37" t="s">
        <v>6</v>
      </c>
      <c r="D543" s="37" t="s">
        <v>97</v>
      </c>
      <c r="E543" s="35">
        <v>0.0</v>
      </c>
    </row>
    <row r="544">
      <c r="A544" s="32">
        <v>543.0</v>
      </c>
      <c r="B544" s="36" t="s">
        <v>635</v>
      </c>
      <c r="C544" s="37" t="s">
        <v>67</v>
      </c>
      <c r="D544" s="37" t="s">
        <v>97</v>
      </c>
      <c r="E544" s="35">
        <v>0.0</v>
      </c>
    </row>
    <row r="545">
      <c r="A545" s="32">
        <v>544.0</v>
      </c>
      <c r="B545" s="36" t="s">
        <v>636</v>
      </c>
      <c r="C545" s="37" t="s">
        <v>45</v>
      </c>
      <c r="D545" s="37" t="s">
        <v>97</v>
      </c>
      <c r="E545" s="35">
        <v>0.0</v>
      </c>
    </row>
    <row r="546">
      <c r="A546" s="32">
        <v>545.0</v>
      </c>
      <c r="B546" s="36" t="s">
        <v>323</v>
      </c>
      <c r="C546" s="37" t="s">
        <v>53</v>
      </c>
      <c r="D546" s="37" t="s">
        <v>97</v>
      </c>
      <c r="E546" s="35">
        <v>0.0</v>
      </c>
    </row>
    <row r="547">
      <c r="A547" s="32">
        <v>546.0</v>
      </c>
      <c r="B547" s="36" t="s">
        <v>637</v>
      </c>
      <c r="C547" s="37" t="s">
        <v>19</v>
      </c>
      <c r="D547" s="37" t="s">
        <v>97</v>
      </c>
      <c r="E547" s="35">
        <v>0.0</v>
      </c>
    </row>
    <row r="548">
      <c r="A548" s="32">
        <v>547.0</v>
      </c>
      <c r="B548" s="36" t="s">
        <v>638</v>
      </c>
      <c r="C548" s="37" t="s">
        <v>47</v>
      </c>
      <c r="D548" s="37" t="s">
        <v>97</v>
      </c>
      <c r="E548" s="35">
        <v>0.0</v>
      </c>
    </row>
    <row r="549">
      <c r="A549" s="32">
        <v>548.0</v>
      </c>
      <c r="B549" s="36" t="s">
        <v>639</v>
      </c>
      <c r="C549" s="37" t="s">
        <v>45</v>
      </c>
      <c r="D549" s="37" t="s">
        <v>97</v>
      </c>
      <c r="E549" s="35">
        <v>0.0</v>
      </c>
    </row>
    <row r="550">
      <c r="A550" s="32">
        <v>549.0</v>
      </c>
      <c r="B550" s="36" t="s">
        <v>640</v>
      </c>
      <c r="C550" s="37" t="s">
        <v>15</v>
      </c>
      <c r="D550" s="37" t="s">
        <v>97</v>
      </c>
      <c r="E550" s="35">
        <v>0.0</v>
      </c>
    </row>
    <row r="551">
      <c r="A551" s="32">
        <v>550.0</v>
      </c>
      <c r="B551" s="36" t="s">
        <v>641</v>
      </c>
      <c r="C551" s="37" t="s">
        <v>11</v>
      </c>
      <c r="D551" s="37" t="s">
        <v>97</v>
      </c>
      <c r="E551" s="35">
        <v>0.0</v>
      </c>
    </row>
    <row r="552">
      <c r="A552" s="32">
        <v>551.0</v>
      </c>
      <c r="B552" s="36" t="s">
        <v>642</v>
      </c>
      <c r="C552" s="37" t="s">
        <v>63</v>
      </c>
      <c r="D552" s="37" t="s">
        <v>97</v>
      </c>
      <c r="E552" s="35">
        <v>0.0</v>
      </c>
    </row>
    <row r="553">
      <c r="A553" s="32">
        <v>552.0</v>
      </c>
      <c r="B553" s="36" t="s">
        <v>643</v>
      </c>
      <c r="C553" s="37" t="s">
        <v>6</v>
      </c>
      <c r="D553" s="37" t="s">
        <v>97</v>
      </c>
      <c r="E553" s="35">
        <v>0.0</v>
      </c>
    </row>
    <row r="554">
      <c r="A554" s="32">
        <v>553.0</v>
      </c>
      <c r="B554" s="36" t="s">
        <v>644</v>
      </c>
      <c r="C554" s="37" t="s">
        <v>28</v>
      </c>
      <c r="D554" s="37" t="s">
        <v>97</v>
      </c>
      <c r="E554" s="35">
        <v>0.0</v>
      </c>
    </row>
    <row r="555">
      <c r="A555" s="32">
        <v>554.0</v>
      </c>
      <c r="B555" s="36" t="s">
        <v>645</v>
      </c>
      <c r="C555" s="37" t="s">
        <v>172</v>
      </c>
      <c r="D555" s="37" t="s">
        <v>97</v>
      </c>
      <c r="E555" s="35">
        <v>0.0</v>
      </c>
    </row>
    <row r="556">
      <c r="A556" s="32">
        <v>555.0</v>
      </c>
      <c r="B556" s="36" t="s">
        <v>646</v>
      </c>
      <c r="C556" s="37" t="s">
        <v>75</v>
      </c>
      <c r="D556" s="37" t="s">
        <v>97</v>
      </c>
      <c r="E556" s="35">
        <v>0.0</v>
      </c>
    </row>
    <row r="557">
      <c r="A557" s="32">
        <v>556.0</v>
      </c>
      <c r="B557" s="36" t="s">
        <v>647</v>
      </c>
      <c r="C557" s="37" t="s">
        <v>23</v>
      </c>
      <c r="D557" s="37" t="s">
        <v>97</v>
      </c>
      <c r="E557" s="35">
        <v>0.0</v>
      </c>
    </row>
    <row r="558">
      <c r="A558" s="32">
        <v>557.0</v>
      </c>
      <c r="B558" s="36" t="s">
        <v>330</v>
      </c>
      <c r="C558" s="37" t="s">
        <v>19</v>
      </c>
      <c r="D558" s="37" t="s">
        <v>97</v>
      </c>
      <c r="E558" s="35">
        <v>0.0</v>
      </c>
    </row>
    <row r="559">
      <c r="A559" s="32">
        <v>558.0</v>
      </c>
      <c r="B559" s="36" t="s">
        <v>648</v>
      </c>
      <c r="C559" s="37" t="s">
        <v>83</v>
      </c>
      <c r="D559" s="37" t="s">
        <v>97</v>
      </c>
      <c r="E559" s="35">
        <v>0.0</v>
      </c>
    </row>
    <row r="560">
      <c r="A560" s="32">
        <v>559.0</v>
      </c>
      <c r="B560" s="36" t="s">
        <v>649</v>
      </c>
      <c r="C560" s="37" t="s">
        <v>47</v>
      </c>
      <c r="D560" s="37" t="s">
        <v>97</v>
      </c>
      <c r="E560" s="35">
        <v>0.0</v>
      </c>
    </row>
    <row r="561">
      <c r="A561" s="32">
        <v>560.0</v>
      </c>
      <c r="B561" s="36" t="s">
        <v>650</v>
      </c>
      <c r="C561" s="37" t="s">
        <v>172</v>
      </c>
      <c r="D561" s="37" t="s">
        <v>97</v>
      </c>
      <c r="E561" s="35">
        <v>0.0</v>
      </c>
    </row>
    <row r="562">
      <c r="A562" s="32">
        <v>561.0</v>
      </c>
      <c r="B562" s="36" t="s">
        <v>651</v>
      </c>
      <c r="C562" s="37" t="s">
        <v>88</v>
      </c>
      <c r="D562" s="37" t="s">
        <v>97</v>
      </c>
      <c r="E562" s="35">
        <v>0.0</v>
      </c>
    </row>
    <row r="563">
      <c r="A563" s="32">
        <v>562.0</v>
      </c>
      <c r="B563" s="36" t="s">
        <v>652</v>
      </c>
      <c r="C563" s="37" t="s">
        <v>83</v>
      </c>
      <c r="D563" s="37" t="s">
        <v>97</v>
      </c>
      <c r="E563" s="35">
        <v>0.0</v>
      </c>
    </row>
    <row r="564">
      <c r="A564" s="32">
        <v>563.0</v>
      </c>
      <c r="B564" s="36" t="s">
        <v>653</v>
      </c>
      <c r="C564" s="37" t="s">
        <v>34</v>
      </c>
      <c r="D564" s="37" t="s">
        <v>97</v>
      </c>
      <c r="E564" s="35">
        <v>0.0</v>
      </c>
    </row>
    <row r="565">
      <c r="A565" s="32">
        <v>564.0</v>
      </c>
      <c r="B565" s="36" t="s">
        <v>654</v>
      </c>
      <c r="C565" s="37" t="s">
        <v>51</v>
      </c>
      <c r="D565" s="37" t="s">
        <v>97</v>
      </c>
      <c r="E565" s="35">
        <v>0.0</v>
      </c>
    </row>
    <row r="566">
      <c r="A566" s="32">
        <v>565.0</v>
      </c>
      <c r="B566" s="36" t="s">
        <v>655</v>
      </c>
      <c r="C566" s="37" t="s">
        <v>77</v>
      </c>
      <c r="D566" s="37" t="s">
        <v>97</v>
      </c>
      <c r="E566" s="35">
        <v>0.0</v>
      </c>
    </row>
    <row r="567">
      <c r="A567" s="32">
        <v>566.0</v>
      </c>
      <c r="B567" s="36" t="s">
        <v>656</v>
      </c>
      <c r="C567" s="37" t="s">
        <v>9</v>
      </c>
      <c r="D567" s="37" t="s">
        <v>97</v>
      </c>
      <c r="E567" s="35">
        <v>0.0</v>
      </c>
    </row>
    <row r="568">
      <c r="A568" s="32">
        <v>567.0</v>
      </c>
      <c r="B568" s="36" t="s">
        <v>657</v>
      </c>
      <c r="C568" s="37" t="s">
        <v>123</v>
      </c>
      <c r="D568" s="37" t="s">
        <v>97</v>
      </c>
      <c r="E568" s="35">
        <v>0.0</v>
      </c>
    </row>
    <row r="569">
      <c r="A569" s="32">
        <v>568.0</v>
      </c>
      <c r="B569" s="36" t="s">
        <v>658</v>
      </c>
      <c r="C569" s="37" t="s">
        <v>21</v>
      </c>
      <c r="D569" s="37" t="s">
        <v>97</v>
      </c>
      <c r="E569" s="35">
        <v>0.0</v>
      </c>
    </row>
    <row r="570">
      <c r="A570" s="32">
        <v>569.0</v>
      </c>
      <c r="B570" s="36" t="s">
        <v>659</v>
      </c>
      <c r="C570" s="37" t="s">
        <v>34</v>
      </c>
      <c r="D570" s="37" t="s">
        <v>97</v>
      </c>
      <c r="E570" s="35">
        <v>0.0</v>
      </c>
    </row>
    <row r="571">
      <c r="A571" s="32">
        <v>570.0</v>
      </c>
      <c r="B571" s="36" t="s">
        <v>660</v>
      </c>
      <c r="C571" s="37" t="s">
        <v>6</v>
      </c>
      <c r="D571" s="37" t="s">
        <v>97</v>
      </c>
      <c r="E571" s="35">
        <v>0.0</v>
      </c>
    </row>
    <row r="572">
      <c r="A572" s="32">
        <v>571.0</v>
      </c>
      <c r="B572" s="36" t="s">
        <v>661</v>
      </c>
      <c r="C572" s="37" t="s">
        <v>72</v>
      </c>
      <c r="D572" s="37" t="s">
        <v>97</v>
      </c>
      <c r="E572" s="35">
        <v>0.0</v>
      </c>
    </row>
    <row r="573">
      <c r="A573" s="32">
        <v>572.0</v>
      </c>
      <c r="B573" s="36" t="s">
        <v>662</v>
      </c>
      <c r="C573" s="37" t="s">
        <v>77</v>
      </c>
      <c r="D573" s="37" t="s">
        <v>97</v>
      </c>
      <c r="E573" s="35">
        <v>0.0</v>
      </c>
    </row>
    <row r="574">
      <c r="A574" s="32">
        <v>573.0</v>
      </c>
      <c r="B574" s="36" t="s">
        <v>663</v>
      </c>
      <c r="C574" s="37" t="s">
        <v>30</v>
      </c>
      <c r="D574" s="37" t="s">
        <v>97</v>
      </c>
      <c r="E574" s="35">
        <v>0.0</v>
      </c>
    </row>
    <row r="575">
      <c r="A575" s="32">
        <v>574.0</v>
      </c>
      <c r="B575" s="36" t="s">
        <v>664</v>
      </c>
      <c r="C575" s="37" t="s">
        <v>123</v>
      </c>
      <c r="D575" s="37" t="s">
        <v>97</v>
      </c>
      <c r="E575" s="35">
        <v>0.0</v>
      </c>
    </row>
    <row r="576">
      <c r="A576" s="32">
        <v>575.0</v>
      </c>
      <c r="B576" s="36" t="s">
        <v>665</v>
      </c>
      <c r="C576" s="37" t="s">
        <v>32</v>
      </c>
      <c r="D576" s="37" t="s">
        <v>97</v>
      </c>
      <c r="E576" s="35">
        <v>0.0</v>
      </c>
    </row>
    <row r="577">
      <c r="A577" s="32">
        <v>576.0</v>
      </c>
      <c r="B577" s="36" t="s">
        <v>666</v>
      </c>
      <c r="C577" s="37" t="s">
        <v>26</v>
      </c>
      <c r="D577" s="37" t="s">
        <v>97</v>
      </c>
      <c r="E577" s="35">
        <v>0.0</v>
      </c>
    </row>
    <row r="578">
      <c r="A578" s="32">
        <v>577.0</v>
      </c>
      <c r="B578" s="36" t="s">
        <v>667</v>
      </c>
      <c r="C578" s="37" t="s">
        <v>21</v>
      </c>
      <c r="D578" s="37" t="s">
        <v>97</v>
      </c>
      <c r="E578" s="35">
        <v>0.0</v>
      </c>
    </row>
    <row r="579">
      <c r="A579" s="32">
        <v>578.0</v>
      </c>
      <c r="B579" s="36" t="s">
        <v>668</v>
      </c>
      <c r="C579" s="37" t="s">
        <v>172</v>
      </c>
      <c r="D579" s="37" t="s">
        <v>97</v>
      </c>
      <c r="E579" s="35">
        <v>0.0</v>
      </c>
    </row>
    <row r="580">
      <c r="A580" s="32">
        <v>579.0</v>
      </c>
      <c r="B580" s="36" t="s">
        <v>669</v>
      </c>
      <c r="C580" s="37" t="s">
        <v>60</v>
      </c>
      <c r="D580" s="37" t="s">
        <v>97</v>
      </c>
      <c r="E580" s="35">
        <v>0.0</v>
      </c>
    </row>
    <row r="581">
      <c r="A581" s="32">
        <v>580.0</v>
      </c>
      <c r="B581" s="36" t="s">
        <v>670</v>
      </c>
      <c r="C581" s="37" t="s">
        <v>13</v>
      </c>
      <c r="D581" s="37" t="s">
        <v>97</v>
      </c>
      <c r="E581" s="35">
        <v>0.0</v>
      </c>
    </row>
    <row r="582">
      <c r="A582" s="32">
        <v>581.0</v>
      </c>
      <c r="B582" s="36" t="s">
        <v>671</v>
      </c>
      <c r="C582" s="37" t="s">
        <v>65</v>
      </c>
      <c r="D582" s="37" t="s">
        <v>97</v>
      </c>
      <c r="E582" s="35">
        <v>0.0</v>
      </c>
    </row>
    <row r="583">
      <c r="A583" s="32">
        <v>582.0</v>
      </c>
      <c r="B583" s="36" t="s">
        <v>672</v>
      </c>
      <c r="C583" s="37" t="s">
        <v>30</v>
      </c>
      <c r="D583" s="37" t="s">
        <v>97</v>
      </c>
      <c r="E583" s="35">
        <v>0.0</v>
      </c>
    </row>
    <row r="584">
      <c r="A584" s="32">
        <v>583.0</v>
      </c>
      <c r="B584" s="36" t="s">
        <v>673</v>
      </c>
      <c r="C584" s="37" t="s">
        <v>172</v>
      </c>
      <c r="D584" s="37" t="s">
        <v>97</v>
      </c>
      <c r="E584" s="35">
        <v>0.0</v>
      </c>
    </row>
    <row r="585">
      <c r="A585" s="32">
        <v>584.0</v>
      </c>
      <c r="B585" s="36" t="s">
        <v>674</v>
      </c>
      <c r="C585" s="37" t="s">
        <v>172</v>
      </c>
      <c r="D585" s="37" t="s">
        <v>97</v>
      </c>
      <c r="E585" s="35">
        <v>0.0</v>
      </c>
    </row>
    <row r="586">
      <c r="A586" s="32">
        <v>585.0</v>
      </c>
      <c r="B586" s="36" t="s">
        <v>675</v>
      </c>
      <c r="C586" s="37" t="s">
        <v>63</v>
      </c>
      <c r="D586" s="37" t="s">
        <v>97</v>
      </c>
      <c r="E586" s="35">
        <v>0.0</v>
      </c>
    </row>
    <row r="587">
      <c r="A587" s="32">
        <v>586.0</v>
      </c>
      <c r="B587" s="33" t="s">
        <v>676</v>
      </c>
      <c r="C587" s="34" t="s">
        <v>172</v>
      </c>
      <c r="D587" s="34" t="s">
        <v>97</v>
      </c>
      <c r="E587" s="35">
        <v>0.0</v>
      </c>
    </row>
    <row r="588">
      <c r="A588" s="32">
        <v>587.0</v>
      </c>
      <c r="B588" s="36" t="s">
        <v>677</v>
      </c>
      <c r="C588" s="37" t="s">
        <v>172</v>
      </c>
      <c r="D588" s="37" t="s">
        <v>97</v>
      </c>
      <c r="E588" s="41">
        <v>0.0</v>
      </c>
    </row>
    <row r="589">
      <c r="A589" s="32">
        <v>588.0</v>
      </c>
      <c r="B589" s="36" t="s">
        <v>678</v>
      </c>
      <c r="C589" s="37" t="s">
        <v>26</v>
      </c>
      <c r="D589" s="37" t="s">
        <v>97</v>
      </c>
      <c r="E589" s="41">
        <v>0.0</v>
      </c>
    </row>
    <row r="590">
      <c r="A590" s="32">
        <v>589.0</v>
      </c>
      <c r="B590" s="36" t="s">
        <v>679</v>
      </c>
      <c r="C590" s="37" t="s">
        <v>172</v>
      </c>
      <c r="D590" s="37" t="s">
        <v>97</v>
      </c>
      <c r="E590" s="41">
        <v>0.0</v>
      </c>
    </row>
    <row r="591">
      <c r="A591" s="32">
        <v>590.0</v>
      </c>
      <c r="B591" s="36" t="s">
        <v>680</v>
      </c>
      <c r="C591" s="37" t="s">
        <v>172</v>
      </c>
      <c r="D591" s="37" t="s">
        <v>97</v>
      </c>
      <c r="E591" s="41">
        <v>0.0</v>
      </c>
    </row>
    <row r="592">
      <c r="A592" s="32">
        <v>591.0</v>
      </c>
      <c r="B592" s="36" t="s">
        <v>681</v>
      </c>
      <c r="C592" s="37" t="s">
        <v>21</v>
      </c>
      <c r="D592" s="37" t="s">
        <v>97</v>
      </c>
      <c r="E592" s="41">
        <v>0.0</v>
      </c>
    </row>
    <row r="593">
      <c r="A593" s="32">
        <v>592.0</v>
      </c>
      <c r="B593" s="36" t="s">
        <v>682</v>
      </c>
      <c r="C593" s="37" t="s">
        <v>28</v>
      </c>
      <c r="D593" s="37" t="s">
        <v>97</v>
      </c>
      <c r="E593" s="41">
        <v>0.0</v>
      </c>
    </row>
    <row r="594">
      <c r="A594" s="32">
        <v>593.0</v>
      </c>
      <c r="B594" s="36" t="s">
        <v>683</v>
      </c>
      <c r="C594" s="37" t="s">
        <v>23</v>
      </c>
      <c r="D594" s="37" t="s">
        <v>97</v>
      </c>
      <c r="E594" s="41">
        <v>0.0</v>
      </c>
    </row>
    <row r="595">
      <c r="A595" s="32">
        <v>594.0</v>
      </c>
      <c r="B595" s="36" t="s">
        <v>684</v>
      </c>
      <c r="C595" s="37" t="s">
        <v>13</v>
      </c>
      <c r="D595" s="37" t="s">
        <v>97</v>
      </c>
      <c r="E595" s="41">
        <v>0.0</v>
      </c>
    </row>
    <row r="596">
      <c r="A596" s="32">
        <v>595.0</v>
      </c>
      <c r="B596" s="36" t="s">
        <v>685</v>
      </c>
      <c r="C596" s="37" t="s">
        <v>172</v>
      </c>
      <c r="D596" s="37" t="s">
        <v>97</v>
      </c>
      <c r="E596" s="41">
        <v>0.0</v>
      </c>
    </row>
    <row r="597">
      <c r="A597" s="32">
        <v>596.0</v>
      </c>
      <c r="B597" s="36" t="s">
        <v>686</v>
      </c>
      <c r="C597" s="37" t="s">
        <v>65</v>
      </c>
      <c r="D597" s="37" t="s">
        <v>97</v>
      </c>
      <c r="E597" s="41">
        <v>0.0</v>
      </c>
    </row>
    <row r="598">
      <c r="A598" s="32">
        <v>597.0</v>
      </c>
      <c r="B598" s="36" t="s">
        <v>687</v>
      </c>
      <c r="C598" s="37" t="s">
        <v>39</v>
      </c>
      <c r="D598" s="37" t="s">
        <v>97</v>
      </c>
      <c r="E598" s="41">
        <v>0.0</v>
      </c>
    </row>
    <row r="599">
      <c r="A599" s="32">
        <v>598.0</v>
      </c>
      <c r="B599" s="36" t="s">
        <v>688</v>
      </c>
      <c r="C599" s="37" t="s">
        <v>15</v>
      </c>
      <c r="D599" s="37" t="s">
        <v>97</v>
      </c>
      <c r="E599" s="41">
        <v>0.0</v>
      </c>
    </row>
    <row r="600">
      <c r="A600" s="32">
        <v>599.0</v>
      </c>
      <c r="B600" s="39" t="s">
        <v>227</v>
      </c>
      <c r="C600" s="40" t="s">
        <v>41</v>
      </c>
      <c r="D600" s="37" t="s">
        <v>199</v>
      </c>
      <c r="E600" s="41">
        <v>0.0</v>
      </c>
    </row>
    <row r="601">
      <c r="A601" s="32">
        <v>600.0</v>
      </c>
      <c r="B601" s="39" t="s">
        <v>265</v>
      </c>
      <c r="C601" s="40" t="s">
        <v>11</v>
      </c>
      <c r="D601" s="37" t="s">
        <v>199</v>
      </c>
      <c r="E601" s="41">
        <v>0.0</v>
      </c>
    </row>
    <row r="602">
      <c r="A602" s="32">
        <v>601.0</v>
      </c>
      <c r="B602" s="39" t="s">
        <v>342</v>
      </c>
      <c r="C602" s="40" t="s">
        <v>77</v>
      </c>
      <c r="D602" s="37" t="s">
        <v>199</v>
      </c>
      <c r="E602" s="41">
        <v>0.0</v>
      </c>
    </row>
    <row r="603">
      <c r="A603" s="32">
        <v>602.0</v>
      </c>
      <c r="B603" s="39" t="s">
        <v>226</v>
      </c>
      <c r="C603" s="40" t="s">
        <v>83</v>
      </c>
      <c r="D603" s="37" t="s">
        <v>199</v>
      </c>
      <c r="E603" s="41">
        <v>0.0</v>
      </c>
    </row>
    <row r="604">
      <c r="A604" s="32">
        <v>603.0</v>
      </c>
      <c r="B604" s="39" t="s">
        <v>343</v>
      </c>
      <c r="C604" s="40" t="s">
        <v>51</v>
      </c>
      <c r="D604" s="37" t="s">
        <v>199</v>
      </c>
      <c r="E604" s="41">
        <v>0.0</v>
      </c>
    </row>
    <row r="605">
      <c r="A605" s="32">
        <v>604.0</v>
      </c>
      <c r="B605" s="39" t="s">
        <v>353</v>
      </c>
      <c r="C605" s="40" t="s">
        <v>67</v>
      </c>
      <c r="D605" s="37" t="s">
        <v>199</v>
      </c>
      <c r="E605" s="41">
        <v>0.0</v>
      </c>
    </row>
    <row r="606">
      <c r="A606" s="32">
        <v>605.0</v>
      </c>
      <c r="B606" s="39" t="s">
        <v>346</v>
      </c>
      <c r="C606" s="40" t="s">
        <v>49</v>
      </c>
      <c r="D606" s="37" t="s">
        <v>199</v>
      </c>
      <c r="E606" s="41">
        <v>0.0</v>
      </c>
    </row>
    <row r="607">
      <c r="A607" s="32">
        <v>606.0</v>
      </c>
      <c r="B607" s="39" t="s">
        <v>333</v>
      </c>
      <c r="C607" s="40" t="s">
        <v>65</v>
      </c>
      <c r="D607" s="37" t="s">
        <v>199</v>
      </c>
      <c r="E607" s="41">
        <v>0.0</v>
      </c>
    </row>
    <row r="608">
      <c r="A608" s="32">
        <v>607.0</v>
      </c>
      <c r="B608" s="39" t="s">
        <v>264</v>
      </c>
      <c r="C608" s="40" t="s">
        <v>123</v>
      </c>
      <c r="D608" s="37" t="s">
        <v>199</v>
      </c>
      <c r="E608" s="41">
        <v>0.0</v>
      </c>
    </row>
    <row r="609">
      <c r="A609" s="32">
        <v>608.0</v>
      </c>
      <c r="B609" s="39" t="s">
        <v>347</v>
      </c>
      <c r="C609" s="40" t="s">
        <v>13</v>
      </c>
      <c r="D609" s="37" t="s">
        <v>199</v>
      </c>
      <c r="E609" s="41">
        <v>0.0</v>
      </c>
    </row>
    <row r="610">
      <c r="A610" s="32">
        <v>609.0</v>
      </c>
      <c r="B610" s="39" t="s">
        <v>348</v>
      </c>
      <c r="C610" s="40" t="s">
        <v>39</v>
      </c>
      <c r="D610" s="37" t="s">
        <v>199</v>
      </c>
      <c r="E610" s="41">
        <v>0.0</v>
      </c>
    </row>
    <row r="611">
      <c r="A611" s="32">
        <v>610.0</v>
      </c>
      <c r="B611" s="39" t="s">
        <v>327</v>
      </c>
      <c r="C611" s="40" t="s">
        <v>47</v>
      </c>
      <c r="D611" s="37" t="s">
        <v>199</v>
      </c>
      <c r="E611" s="41">
        <v>0.0</v>
      </c>
    </row>
    <row r="612">
      <c r="A612" s="32">
        <v>611.0</v>
      </c>
      <c r="B612" s="39" t="s">
        <v>352</v>
      </c>
      <c r="C612" s="40" t="s">
        <v>75</v>
      </c>
      <c r="D612" s="37" t="s">
        <v>199</v>
      </c>
      <c r="E612" s="41">
        <v>0.0</v>
      </c>
    </row>
    <row r="613">
      <c r="A613" s="32">
        <v>612.0</v>
      </c>
      <c r="B613" s="39" t="s">
        <v>350</v>
      </c>
      <c r="C613" s="40" t="s">
        <v>19</v>
      </c>
      <c r="D613" s="37" t="s">
        <v>199</v>
      </c>
      <c r="E613" s="41">
        <v>0.0</v>
      </c>
    </row>
    <row r="614">
      <c r="A614" s="32">
        <v>613.0</v>
      </c>
      <c r="B614" s="39" t="s">
        <v>344</v>
      </c>
      <c r="C614" s="40" t="s">
        <v>28</v>
      </c>
      <c r="D614" s="37" t="s">
        <v>199</v>
      </c>
      <c r="E614" s="41">
        <v>0.0</v>
      </c>
    </row>
    <row r="615">
      <c r="A615" s="32">
        <v>614.0</v>
      </c>
      <c r="B615" s="39" t="s">
        <v>345</v>
      </c>
      <c r="C615" s="40" t="s">
        <v>70</v>
      </c>
      <c r="D615" s="37" t="s">
        <v>199</v>
      </c>
      <c r="E615" s="41">
        <v>0.0</v>
      </c>
    </row>
    <row r="616">
      <c r="A616" s="32">
        <v>615.0</v>
      </c>
      <c r="B616" s="39" t="s">
        <v>351</v>
      </c>
      <c r="C616" s="40" t="s">
        <v>95</v>
      </c>
      <c r="D616" s="37" t="s">
        <v>199</v>
      </c>
      <c r="E616" s="41">
        <v>0.0</v>
      </c>
    </row>
    <row r="617">
      <c r="A617" s="32">
        <v>616.0</v>
      </c>
      <c r="B617" s="39" t="s">
        <v>328</v>
      </c>
      <c r="C617" s="40" t="s">
        <v>72</v>
      </c>
      <c r="D617" s="37" t="s">
        <v>199</v>
      </c>
      <c r="E617" s="41">
        <v>0.0</v>
      </c>
    </row>
    <row r="618">
      <c r="A618" s="32">
        <v>617.0</v>
      </c>
      <c r="B618" s="39" t="s">
        <v>354</v>
      </c>
      <c r="C618" s="40" t="s">
        <v>53</v>
      </c>
      <c r="D618" s="37" t="s">
        <v>199</v>
      </c>
      <c r="E618" s="41">
        <v>0.0</v>
      </c>
    </row>
    <row r="619">
      <c r="A619" s="32">
        <v>618.0</v>
      </c>
      <c r="B619" s="39" t="s">
        <v>349</v>
      </c>
      <c r="C619" s="40" t="s">
        <v>45</v>
      </c>
      <c r="D619" s="37" t="s">
        <v>199</v>
      </c>
      <c r="E619" s="41">
        <v>0.0</v>
      </c>
    </row>
  </sheetData>
  <autoFilter ref="$A$1:$E$619"/>
  <customSheetViews>
    <customSheetView guid="{9BEFF3AC-C60D-4410-965C-120711D1D806}" filter="1" showAutoFilter="1">
      <autoFilter ref="$A$1:$E$619"/>
    </customSheetView>
    <customSheetView guid="{1542235B-480F-4832-8EB2-0562297D4074}" filter="1" showAutoFilter="1">
      <autoFilter ref="$A$1:$E$619"/>
    </customSheetView>
  </customSheetView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8.63"/>
    <col customWidth="1" min="3" max="3" width="9.88"/>
    <col customWidth="1" min="4" max="4" width="10.38"/>
    <col customWidth="1" min="6" max="6" width="11.88"/>
  </cols>
  <sheetData>
    <row r="1">
      <c r="A1" s="42" t="s">
        <v>1</v>
      </c>
      <c r="B1" s="42" t="s">
        <v>2</v>
      </c>
      <c r="C1" s="42" t="s">
        <v>3</v>
      </c>
      <c r="D1" s="42" t="s">
        <v>689</v>
      </c>
      <c r="E1" s="42" t="s">
        <v>690</v>
      </c>
      <c r="F1" s="42" t="s">
        <v>691</v>
      </c>
      <c r="G1" s="42" t="s">
        <v>692</v>
      </c>
      <c r="H1" s="42" t="s">
        <v>693</v>
      </c>
      <c r="I1" s="42" t="s">
        <v>694</v>
      </c>
      <c r="J1" s="42" t="s">
        <v>695</v>
      </c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</row>
    <row r="2">
      <c r="A2" s="44" t="s">
        <v>8</v>
      </c>
      <c r="B2" s="45" t="s">
        <v>9</v>
      </c>
      <c r="C2" s="45" t="s">
        <v>7</v>
      </c>
      <c r="D2" s="45">
        <v>12.0</v>
      </c>
      <c r="E2" s="46">
        <f>if(ISNA(vlookup($A2, ESPN!$B$2:$E$281, 4, false)), 0, vlookup($A2, ESPN!$B$2:$E$281, 4, false))</f>
        <v>28</v>
      </c>
      <c r="F2" s="46">
        <f>if(ISNA(vlookup($A2, Scout.com!$B$2:$E$239, 4, false)), 0, vlookup($A2, Scout.com!$B$2:$E$239, 4, false))</f>
        <v>19</v>
      </c>
      <c r="G2" s="46">
        <f>if(ISNA(vlookup($A2, FantasyPro!$B$2:$E$318, 4, false)), 0, vlookup($A2, FantasyPro!$B$2:$E$318, 4, false))</f>
        <v>33</v>
      </c>
      <c r="H2" s="46">
        <f>if(ISNA(vlookup($A2, RotoWire!$B$2:$E$681, 4, false)), 0, vlookup($A2, RotoWire!$B$2:$E$681, 4, false))</f>
        <v>28</v>
      </c>
      <c r="I2" s="47">
        <f t="shared" ref="I2:I617" si="1">Average(E2:H2)</f>
        <v>27</v>
      </c>
      <c r="J2" s="47">
        <f t="shared" ref="J2:J617" si="2">max(E2:H2)-min(E2:H2)</f>
        <v>14</v>
      </c>
    </row>
    <row r="3">
      <c r="A3" s="44" t="s">
        <v>5</v>
      </c>
      <c r="B3" s="45" t="s">
        <v>6</v>
      </c>
      <c r="C3" s="45" t="s">
        <v>7</v>
      </c>
      <c r="D3" s="45">
        <v>7.0</v>
      </c>
      <c r="E3" s="46">
        <f>if(ISNA(vlookup($A3, ESPN!$B$2:$E$281, 4, false)), 0, vlookup($A3, ESPN!$B$2:$E$281, 4, false))</f>
        <v>29</v>
      </c>
      <c r="F3" s="46">
        <f>if(ISNA(vlookup($A3, Scout.com!$B$2:$E$239, 4, false)), 0, vlookup($A3, Scout.com!$B$2:$E$239, 4, false))</f>
        <v>17</v>
      </c>
      <c r="G3" s="46">
        <f>if(ISNA(vlookup($A3, FantasyPro!$B$2:$E$318, 4, false)), 0, vlookup($A3, FantasyPro!$B$2:$E$318, 4, false))</f>
        <v>31</v>
      </c>
      <c r="H3" s="46">
        <f>if(ISNA(vlookup($A3, RotoWire!$B$2:$E$681, 4, false)), 0, vlookup($A3, RotoWire!$B$2:$E$681, 4, false))</f>
        <v>29</v>
      </c>
      <c r="I3" s="47">
        <f t="shared" si="1"/>
        <v>26.5</v>
      </c>
      <c r="J3" s="47">
        <f t="shared" si="2"/>
        <v>14</v>
      </c>
    </row>
    <row r="4">
      <c r="A4" s="44" t="s">
        <v>10</v>
      </c>
      <c r="B4" s="45" t="s">
        <v>11</v>
      </c>
      <c r="C4" s="45" t="s">
        <v>7</v>
      </c>
      <c r="D4" s="45">
        <v>9.0</v>
      </c>
      <c r="E4" s="46">
        <f>if(ISNA(vlookup($A4, ESPN!$B$2:$E$281, 4, false)), 0, vlookup($A4, ESPN!$B$2:$E$281, 4, false))</f>
        <v>28</v>
      </c>
      <c r="F4" s="46">
        <f>if(ISNA(vlookup($A4, Scout.com!$B$2:$E$239, 4, false)), 0, vlookup($A4, Scout.com!$B$2:$E$239, 4, false))</f>
        <v>17</v>
      </c>
      <c r="G4" s="46">
        <f>if(ISNA(vlookup($A4, FantasyPro!$B$2:$E$318, 4, false)), 0, vlookup($A4, FantasyPro!$B$2:$E$318, 4, false))</f>
        <v>27</v>
      </c>
      <c r="H4" s="46">
        <f>if(ISNA(vlookup($A4, RotoWire!$B$2:$E$681, 4, false)), 0, vlookup($A4, RotoWire!$B$2:$E$681, 4, false))</f>
        <v>29</v>
      </c>
      <c r="I4" s="47">
        <f t="shared" si="1"/>
        <v>25.25</v>
      </c>
      <c r="J4" s="47">
        <f t="shared" si="2"/>
        <v>12</v>
      </c>
    </row>
    <row r="5">
      <c r="A5" s="44" t="s">
        <v>18</v>
      </c>
      <c r="B5" s="45" t="s">
        <v>19</v>
      </c>
      <c r="C5" s="45" t="s">
        <v>7</v>
      </c>
      <c r="D5" s="45">
        <v>9.0</v>
      </c>
      <c r="E5" s="46">
        <f>if(ISNA(vlookup($A5, ESPN!$B$2:$E$281, 4, false)), 0, vlookup($A5, ESPN!$B$2:$E$281, 4, false))</f>
        <v>26</v>
      </c>
      <c r="F5" s="46">
        <f>if(ISNA(vlookup($A5, Scout.com!$B$2:$E$239, 4, false)), 0, vlookup($A5, Scout.com!$B$2:$E$239, 4, false))</f>
        <v>27</v>
      </c>
      <c r="G5" s="46">
        <f>if(ISNA(vlookup($A5, FantasyPro!$B$2:$E$318, 4, false)), 0, vlookup($A5, FantasyPro!$B$2:$E$318, 4, false))</f>
        <v>20</v>
      </c>
      <c r="H5" s="46">
        <f>if(ISNA(vlookup($A5, RotoWire!$B$2:$E$681, 4, false)), 0, vlookup($A5, RotoWire!$B$2:$E$681, 4, false))</f>
        <v>28</v>
      </c>
      <c r="I5" s="47">
        <f t="shared" si="1"/>
        <v>25.25</v>
      </c>
      <c r="J5" s="47">
        <f t="shared" si="2"/>
        <v>8</v>
      </c>
    </row>
    <row r="6">
      <c r="A6" s="44" t="s">
        <v>12</v>
      </c>
      <c r="B6" s="45" t="s">
        <v>13</v>
      </c>
      <c r="C6" s="45" t="s">
        <v>7</v>
      </c>
      <c r="D6" s="45">
        <v>8.0</v>
      </c>
      <c r="E6" s="46">
        <f>if(ISNA(vlookup($A6, ESPN!$B$2:$E$281, 4, false)), 0, vlookup($A6, ESPN!$B$2:$E$281, 4, false))</f>
        <v>27</v>
      </c>
      <c r="F6" s="46">
        <f>if(ISNA(vlookup($A6, Scout.com!$B$2:$E$239, 4, false)), 0, vlookup($A6, Scout.com!$B$2:$E$239, 4, false))</f>
        <v>19</v>
      </c>
      <c r="G6" s="46">
        <f>if(ISNA(vlookup($A6, FantasyPro!$B$2:$E$318, 4, false)), 0, vlookup($A6, FantasyPro!$B$2:$E$318, 4, false))</f>
        <v>27</v>
      </c>
      <c r="H6" s="46">
        <f>if(ISNA(vlookup($A6, RotoWire!$B$2:$E$681, 4, false)), 0, vlookup($A6, RotoWire!$B$2:$E$681, 4, false))</f>
        <v>26</v>
      </c>
      <c r="I6" s="47">
        <f t="shared" si="1"/>
        <v>24.75</v>
      </c>
      <c r="J6" s="47">
        <f t="shared" si="2"/>
        <v>8</v>
      </c>
    </row>
    <row r="7">
      <c r="A7" s="44" t="s">
        <v>16</v>
      </c>
      <c r="B7" s="45" t="s">
        <v>6</v>
      </c>
      <c r="C7" s="45" t="s">
        <v>17</v>
      </c>
      <c r="D7" s="45">
        <v>7.0</v>
      </c>
      <c r="E7" s="46">
        <f>if(ISNA(vlookup($A7, ESPN!$B$2:$E$281, 4, false)), 0, vlookup($A7, ESPN!$B$2:$E$281, 4, false))</f>
        <v>26</v>
      </c>
      <c r="F7" s="46">
        <f>if(ISNA(vlookup($A7, Scout.com!$B$2:$E$239, 4, false)), 0, vlookup($A7, Scout.com!$B$2:$E$239, 4, false))</f>
        <v>17</v>
      </c>
      <c r="G7" s="46">
        <f>if(ISNA(vlookup($A7, FantasyPro!$B$2:$E$318, 4, false)), 0, vlookup($A7, FantasyPro!$B$2:$E$318, 4, false))</f>
        <v>30</v>
      </c>
      <c r="H7" s="46">
        <f>if(ISNA(vlookup($A7, RotoWire!$B$2:$E$681, 4, false)), 0, vlookup($A7, RotoWire!$B$2:$E$681, 4, false))</f>
        <v>17</v>
      </c>
      <c r="I7" s="47">
        <f t="shared" si="1"/>
        <v>22.5</v>
      </c>
      <c r="J7" s="47">
        <f t="shared" si="2"/>
        <v>13</v>
      </c>
    </row>
    <row r="8">
      <c r="A8" s="44" t="s">
        <v>20</v>
      </c>
      <c r="B8" s="45" t="s">
        <v>21</v>
      </c>
      <c r="C8" s="45" t="s">
        <v>7</v>
      </c>
      <c r="D8" s="45">
        <v>6.0</v>
      </c>
      <c r="E8" s="46">
        <f>if(ISNA(vlookup($A8, ESPN!$B$2:$E$281, 4, false)), 0, vlookup($A8, ESPN!$B$2:$E$281, 4, false))</f>
        <v>25</v>
      </c>
      <c r="F8" s="46">
        <f>if(ISNA(vlookup($A8, Scout.com!$B$2:$E$239, 4, false)), 0, vlookup($A8, Scout.com!$B$2:$E$239, 4, false))</f>
        <v>16</v>
      </c>
      <c r="G8" s="46">
        <f>if(ISNA(vlookup($A8, FantasyPro!$B$2:$E$318, 4, false)), 0, vlookup($A8, FantasyPro!$B$2:$E$318, 4, false))</f>
        <v>22</v>
      </c>
      <c r="H8" s="46">
        <f>if(ISNA(vlookup($A8, RotoWire!$B$2:$E$681, 4, false)), 0, vlookup($A8, RotoWire!$B$2:$E$681, 4, false))</f>
        <v>25</v>
      </c>
      <c r="I8" s="47">
        <f t="shared" si="1"/>
        <v>22</v>
      </c>
      <c r="J8" s="47">
        <f t="shared" si="2"/>
        <v>9</v>
      </c>
    </row>
    <row r="9">
      <c r="A9" s="44" t="s">
        <v>27</v>
      </c>
      <c r="B9" s="45" t="s">
        <v>28</v>
      </c>
      <c r="C9" s="45" t="s">
        <v>7</v>
      </c>
      <c r="D9" s="45">
        <v>12.0</v>
      </c>
      <c r="E9" s="46">
        <f>if(ISNA(vlookup($A9, ESPN!$B$2:$E$281, 4, false)), 0, vlookup($A9, ESPN!$B$2:$E$281, 4, false))</f>
        <v>23</v>
      </c>
      <c r="F9" s="46">
        <f>if(ISNA(vlookup($A9, Scout.com!$B$2:$E$239, 4, false)), 0, vlookup($A9, Scout.com!$B$2:$E$239, 4, false))</f>
        <v>14</v>
      </c>
      <c r="G9" s="46">
        <f>if(ISNA(vlookup($A9, FantasyPro!$B$2:$E$318, 4, false)), 0, vlookup($A9, FantasyPro!$B$2:$E$318, 4, false))</f>
        <v>21</v>
      </c>
      <c r="H9" s="46">
        <f>if(ISNA(vlookup($A9, RotoWire!$B$2:$E$681, 4, false)), 0, vlookup($A9, RotoWire!$B$2:$E$681, 4, false))</f>
        <v>25</v>
      </c>
      <c r="I9" s="47">
        <f t="shared" si="1"/>
        <v>20.75</v>
      </c>
      <c r="J9" s="47">
        <f t="shared" si="2"/>
        <v>11</v>
      </c>
    </row>
    <row r="10">
      <c r="A10" s="44" t="s">
        <v>22</v>
      </c>
      <c r="B10" s="45" t="s">
        <v>23</v>
      </c>
      <c r="C10" s="45" t="s">
        <v>17</v>
      </c>
      <c r="D10" s="45">
        <v>8.0</v>
      </c>
      <c r="E10" s="46">
        <f>if(ISNA(vlookup($A10, ESPN!$B$2:$E$281, 4, false)), 0, vlookup($A10, ESPN!$B$2:$E$281, 4, false))</f>
        <v>25</v>
      </c>
      <c r="F10" s="46">
        <f>if(ISNA(vlookup($A10, Scout.com!$B$2:$E$239, 4, false)), 0, vlookup($A10, Scout.com!$B$2:$E$239, 4, false))</f>
        <v>14</v>
      </c>
      <c r="G10" s="46">
        <f>if(ISNA(vlookup($A10, FantasyPro!$B$2:$E$318, 4, false)), 0, vlookup($A10, FantasyPro!$B$2:$E$318, 4, false))</f>
        <v>24</v>
      </c>
      <c r="H10" s="46">
        <f>if(ISNA(vlookup($A10, RotoWire!$B$2:$E$681, 4, false)), 0, vlookup($A10, RotoWire!$B$2:$E$681, 4, false))</f>
        <v>16</v>
      </c>
      <c r="I10" s="47">
        <f t="shared" si="1"/>
        <v>19.75</v>
      </c>
      <c r="J10" s="47">
        <f t="shared" si="2"/>
        <v>11</v>
      </c>
    </row>
    <row r="11">
      <c r="A11" s="44" t="s">
        <v>29</v>
      </c>
      <c r="B11" s="48" t="s">
        <v>30</v>
      </c>
      <c r="C11" s="45" t="s">
        <v>7</v>
      </c>
      <c r="D11" s="45">
        <v>9.0</v>
      </c>
      <c r="E11" s="46">
        <f>if(ISNA(vlookup($A11, ESPN!$B$2:$E$281, 4, false)), 0, vlookup($A11, ESPN!$B$2:$E$281, 4, false))</f>
        <v>23</v>
      </c>
      <c r="F11" s="46">
        <f>if(ISNA(vlookup($A11, Scout.com!$B$2:$E$239, 4, false)), 0, vlookup($A11, Scout.com!$B$2:$E$239, 4, false))</f>
        <v>14</v>
      </c>
      <c r="G11" s="46">
        <f>if(ISNA(vlookup($A11, FantasyPro!$B$2:$E$318, 4, false)), 0, vlookup($A11, FantasyPro!$B$2:$E$318, 4, false))</f>
        <v>21</v>
      </c>
      <c r="H11" s="46">
        <f>if(ISNA(vlookup($A11, RotoWire!$B$2:$E$681, 4, false)), 0, vlookup($A11, RotoWire!$B$2:$E$681, 4, false))</f>
        <v>21</v>
      </c>
      <c r="I11" s="47">
        <f t="shared" si="1"/>
        <v>19.75</v>
      </c>
      <c r="J11" s="47">
        <f t="shared" si="2"/>
        <v>9</v>
      </c>
    </row>
    <row r="12">
      <c r="A12" s="44" t="s">
        <v>25</v>
      </c>
      <c r="B12" s="45" t="s">
        <v>26</v>
      </c>
      <c r="C12" s="45" t="s">
        <v>17</v>
      </c>
      <c r="D12" s="45">
        <v>10.0</v>
      </c>
      <c r="E12" s="46">
        <f>if(ISNA(vlookup($A12, ESPN!$B$2:$E$281, 4, false)), 0, vlookup($A12, ESPN!$B$2:$E$281, 4, false))</f>
        <v>24</v>
      </c>
      <c r="F12" s="46">
        <f>if(ISNA(vlookup($A12, Scout.com!$B$2:$E$239, 4, false)), 0, vlookup($A12, Scout.com!$B$2:$E$239, 4, false))</f>
        <v>16</v>
      </c>
      <c r="G12" s="46">
        <f>if(ISNA(vlookup($A12, FantasyPro!$B$2:$E$318, 4, false)), 0, vlookup($A12, FantasyPro!$B$2:$E$318, 4, false))</f>
        <v>24</v>
      </c>
      <c r="H12" s="46">
        <f>if(ISNA(vlookup($A12, RotoWire!$B$2:$E$681, 4, false)), 0, vlookup($A12, RotoWire!$B$2:$E$681, 4, false))</f>
        <v>14</v>
      </c>
      <c r="I12" s="47">
        <f t="shared" si="1"/>
        <v>19.5</v>
      </c>
      <c r="J12" s="47">
        <f t="shared" si="2"/>
        <v>10</v>
      </c>
    </row>
    <row r="13">
      <c r="A13" s="44" t="s">
        <v>24</v>
      </c>
      <c r="B13" s="45" t="s">
        <v>19</v>
      </c>
      <c r="C13" s="45" t="s">
        <v>17</v>
      </c>
      <c r="D13" s="45">
        <v>9.0</v>
      </c>
      <c r="E13" s="46">
        <f>if(ISNA(vlookup($A13, ESPN!$B$2:$E$281, 4, false)), 0, vlookup($A13, ESPN!$B$2:$E$281, 4, false))</f>
        <v>24</v>
      </c>
      <c r="F13" s="46">
        <f>if(ISNA(vlookup($A13, Scout.com!$B$2:$E$239, 4, false)), 0, vlookup($A13, Scout.com!$B$2:$E$239, 4, false))</f>
        <v>16</v>
      </c>
      <c r="G13" s="46">
        <f>if(ISNA(vlookup($A13, FantasyPro!$B$2:$E$318, 4, false)), 0, vlookup($A13, FantasyPro!$B$2:$E$318, 4, false))</f>
        <v>22</v>
      </c>
      <c r="H13" s="46">
        <f>if(ISNA(vlookup($A13, RotoWire!$B$2:$E$681, 4, false)), 0, vlookup($A13, RotoWire!$B$2:$E$681, 4, false))</f>
        <v>16</v>
      </c>
      <c r="I13" s="47">
        <f t="shared" si="1"/>
        <v>19.5</v>
      </c>
      <c r="J13" s="47">
        <f t="shared" si="2"/>
        <v>8</v>
      </c>
    </row>
    <row r="14">
      <c r="A14" s="44" t="s">
        <v>33</v>
      </c>
      <c r="B14" s="45" t="s">
        <v>34</v>
      </c>
      <c r="C14" s="45" t="s">
        <v>7</v>
      </c>
      <c r="D14" s="45">
        <v>8.0</v>
      </c>
      <c r="E14" s="46">
        <f>if(ISNA(vlookup($A14, ESPN!$B$2:$E$281, 4, false)), 0, vlookup($A14, ESPN!$B$2:$E$281, 4, false))</f>
        <v>21</v>
      </c>
      <c r="F14" s="46">
        <f>if(ISNA(vlookup($A14, Scout.com!$B$2:$E$239, 4, false)), 0, vlookup($A14, Scout.com!$B$2:$E$239, 4, false))</f>
        <v>13</v>
      </c>
      <c r="G14" s="46">
        <f>if(ISNA(vlookup($A14, FantasyPro!$B$2:$E$318, 4, false)), 0, vlookup($A14, FantasyPro!$B$2:$E$318, 4, false))</f>
        <v>22</v>
      </c>
      <c r="H14" s="46">
        <f>if(ISNA(vlookup($A14, RotoWire!$B$2:$E$681, 4, false)), 0, vlookup($A14, RotoWire!$B$2:$E$681, 4, false))</f>
        <v>21</v>
      </c>
      <c r="I14" s="47">
        <f t="shared" si="1"/>
        <v>19.25</v>
      </c>
      <c r="J14" s="47">
        <f t="shared" si="2"/>
        <v>9</v>
      </c>
    </row>
    <row r="15">
      <c r="A15" s="44" t="s">
        <v>31</v>
      </c>
      <c r="B15" s="45" t="s">
        <v>32</v>
      </c>
      <c r="C15" s="45" t="s">
        <v>7</v>
      </c>
      <c r="D15" s="45">
        <v>10.0</v>
      </c>
      <c r="E15" s="46">
        <f>if(ISNA(vlookup($A15, ESPN!$B$2:$E$281, 4, false)), 0, vlookup($A15, ESPN!$B$2:$E$281, 4, false))</f>
        <v>22</v>
      </c>
      <c r="F15" s="46">
        <f>if(ISNA(vlookup($A15, Scout.com!$B$2:$E$239, 4, false)), 0, vlookup($A15, Scout.com!$B$2:$E$239, 4, false))</f>
        <v>14</v>
      </c>
      <c r="G15" s="46">
        <f>if(ISNA(vlookup($A15, FantasyPro!$B$2:$E$318, 4, false)), 0, vlookup($A15, FantasyPro!$B$2:$E$318, 4, false))</f>
        <v>19</v>
      </c>
      <c r="H15" s="46">
        <f>if(ISNA(vlookup($A15, RotoWire!$B$2:$E$681, 4, false)), 0, vlookup($A15, RotoWire!$B$2:$E$681, 4, false))</f>
        <v>19</v>
      </c>
      <c r="I15" s="47">
        <f t="shared" si="1"/>
        <v>18.5</v>
      </c>
      <c r="J15" s="47">
        <f t="shared" si="2"/>
        <v>8</v>
      </c>
    </row>
    <row r="16">
      <c r="A16" s="44" t="s">
        <v>36</v>
      </c>
      <c r="B16" s="45" t="s">
        <v>21</v>
      </c>
      <c r="C16" s="45" t="s">
        <v>17</v>
      </c>
      <c r="D16" s="45">
        <v>6.0</v>
      </c>
      <c r="E16" s="46">
        <f>if(ISNA(vlookup($A16, ESPN!$B$2:$E$281, 4, false)), 0, vlookup($A16, ESPN!$B$2:$E$281, 4, false))</f>
        <v>20</v>
      </c>
      <c r="F16" s="46">
        <f>if(ISNA(vlookup($A16, Scout.com!$B$2:$E$239, 4, false)), 0, vlookup($A16, Scout.com!$B$2:$E$239, 4, false))</f>
        <v>15</v>
      </c>
      <c r="G16" s="46">
        <f>if(ISNA(vlookup($A16, FantasyPro!$B$2:$E$318, 4, false)), 0, vlookup($A16, FantasyPro!$B$2:$E$318, 4, false))</f>
        <v>20</v>
      </c>
      <c r="H16" s="46">
        <f>if(ISNA(vlookup($A16, RotoWire!$B$2:$E$681, 4, false)), 0, vlookup($A16, RotoWire!$B$2:$E$681, 4, false))</f>
        <v>13</v>
      </c>
      <c r="I16" s="47">
        <f t="shared" si="1"/>
        <v>17</v>
      </c>
      <c r="J16" s="47">
        <f t="shared" si="2"/>
        <v>7</v>
      </c>
    </row>
    <row r="17">
      <c r="A17" s="44" t="s">
        <v>35</v>
      </c>
      <c r="B17" s="45" t="s">
        <v>34</v>
      </c>
      <c r="C17" s="45" t="s">
        <v>17</v>
      </c>
      <c r="D17" s="45">
        <v>8.0</v>
      </c>
      <c r="E17" s="46">
        <f>if(ISNA(vlookup($A17, ESPN!$B$2:$E$281, 4, false)), 0, vlookup($A17, ESPN!$B$2:$E$281, 4, false))</f>
        <v>20</v>
      </c>
      <c r="F17" s="46">
        <f>if(ISNA(vlookup($A17, Scout.com!$B$2:$E$239, 4, false)), 0, vlookup($A17, Scout.com!$B$2:$E$239, 4, false))</f>
        <v>13</v>
      </c>
      <c r="G17" s="46">
        <f>if(ISNA(vlookup($A17, FantasyPro!$B$2:$E$318, 4, false)), 0, vlookup($A17, FantasyPro!$B$2:$E$318, 4, false))</f>
        <v>21</v>
      </c>
      <c r="H17" s="46">
        <f>if(ISNA(vlookup($A17, RotoWire!$B$2:$E$681, 4, false)), 0, vlookup($A17, RotoWire!$B$2:$E$681, 4, false))</f>
        <v>12</v>
      </c>
      <c r="I17" s="47">
        <f t="shared" si="1"/>
        <v>16.5</v>
      </c>
      <c r="J17" s="47">
        <f t="shared" si="2"/>
        <v>9</v>
      </c>
    </row>
    <row r="18">
      <c r="A18" s="44" t="s">
        <v>37</v>
      </c>
      <c r="B18" s="45" t="s">
        <v>23</v>
      </c>
      <c r="C18" s="45" t="s">
        <v>7</v>
      </c>
      <c r="D18" s="45">
        <v>8.0</v>
      </c>
      <c r="E18" s="46">
        <f>if(ISNA(vlookup($A18, ESPN!$B$2:$E$281, 4, false)), 0, vlookup($A18, ESPN!$B$2:$E$281, 4, false))</f>
        <v>19</v>
      </c>
      <c r="F18" s="46">
        <f>if(ISNA(vlookup($A18, Scout.com!$B$2:$E$239, 4, false)), 0, vlookup($A18, Scout.com!$B$2:$E$239, 4, false))</f>
        <v>11</v>
      </c>
      <c r="G18" s="46">
        <f>if(ISNA(vlookup($A18, FantasyPro!$B$2:$E$318, 4, false)), 0, vlookup($A18, FantasyPro!$B$2:$E$318, 4, false))</f>
        <v>17</v>
      </c>
      <c r="H18" s="46">
        <f>if(ISNA(vlookup($A18, RotoWire!$B$2:$E$681, 4, false)), 0, vlookup($A18, RotoWire!$B$2:$E$681, 4, false))</f>
        <v>16</v>
      </c>
      <c r="I18" s="47">
        <f t="shared" si="1"/>
        <v>15.75</v>
      </c>
      <c r="J18" s="47">
        <f t="shared" si="2"/>
        <v>8</v>
      </c>
    </row>
    <row r="19">
      <c r="A19" s="44" t="s">
        <v>38</v>
      </c>
      <c r="B19" s="45" t="s">
        <v>39</v>
      </c>
      <c r="C19" s="45" t="s">
        <v>17</v>
      </c>
      <c r="D19" s="45">
        <v>9.0</v>
      </c>
      <c r="E19" s="46">
        <f>if(ISNA(vlookup($A19, ESPN!$B$2:$E$281, 4, false)), 0, vlookup($A19, ESPN!$B$2:$E$281, 4, false))</f>
        <v>19</v>
      </c>
      <c r="F19" s="46">
        <f>if(ISNA(vlookup($A19, Scout.com!$B$2:$E$239, 4, false)), 0, vlookup($A19, Scout.com!$B$2:$E$239, 4, false))</f>
        <v>12</v>
      </c>
      <c r="G19" s="46">
        <f>if(ISNA(vlookup($A19, FantasyPro!$B$2:$E$318, 4, false)), 0, vlookup($A19, FantasyPro!$B$2:$E$318, 4, false))</f>
        <v>18</v>
      </c>
      <c r="H19" s="46">
        <f>if(ISNA(vlookup($A19, RotoWire!$B$2:$E$681, 4, false)), 0, vlookup($A19, RotoWire!$B$2:$E$681, 4, false))</f>
        <v>11</v>
      </c>
      <c r="I19" s="47">
        <f t="shared" si="1"/>
        <v>15</v>
      </c>
      <c r="J19" s="47">
        <f t="shared" si="2"/>
        <v>8</v>
      </c>
    </row>
    <row r="20">
      <c r="A20" s="44" t="s">
        <v>50</v>
      </c>
      <c r="B20" s="45" t="s">
        <v>51</v>
      </c>
      <c r="C20" s="45" t="s">
        <v>7</v>
      </c>
      <c r="D20" s="45">
        <v>5.0</v>
      </c>
      <c r="E20" s="46">
        <f>if(ISNA(vlookup($A20, ESPN!$B$2:$E$281, 4, false)), 0, vlookup($A20, ESPN!$B$2:$E$281, 4, false))</f>
        <v>17</v>
      </c>
      <c r="F20" s="46">
        <f>if(ISNA(vlookup($A20, Scout.com!$B$2:$E$239, 4, false)), 0, vlookup($A20, Scout.com!$B$2:$E$239, 4, false))</f>
        <v>9</v>
      </c>
      <c r="G20" s="46">
        <f>if(ISNA(vlookup($A20, FantasyPro!$B$2:$E$318, 4, false)), 0, vlookup($A20, FantasyPro!$B$2:$E$318, 4, false))</f>
        <v>14</v>
      </c>
      <c r="H20" s="46">
        <f>if(ISNA(vlookup($A20, RotoWire!$B$2:$E$681, 4, false)), 0, vlookup($A20, RotoWire!$B$2:$E$681, 4, false))</f>
        <v>19</v>
      </c>
      <c r="I20" s="47">
        <f t="shared" si="1"/>
        <v>14.75</v>
      </c>
      <c r="J20" s="47">
        <f t="shared" si="2"/>
        <v>10</v>
      </c>
    </row>
    <row r="21">
      <c r="A21" s="44" t="s">
        <v>46</v>
      </c>
      <c r="B21" s="45" t="s">
        <v>47</v>
      </c>
      <c r="C21" s="45" t="s">
        <v>17</v>
      </c>
      <c r="D21" s="45">
        <v>7.0</v>
      </c>
      <c r="E21" s="46">
        <f>if(ISNA(vlookup($A21, ESPN!$B$2:$E$281, 4, false)), 0, vlookup($A21, ESPN!$B$2:$E$281, 4, false))</f>
        <v>18</v>
      </c>
      <c r="F21" s="46">
        <f>if(ISNA(vlookup($A21, Scout.com!$B$2:$E$239, 4, false)), 0, vlookup($A21, Scout.com!$B$2:$E$239, 4, false))</f>
        <v>12</v>
      </c>
      <c r="G21" s="46">
        <f>if(ISNA(vlookup($A21, FantasyPro!$B$2:$E$318, 4, false)), 0, vlookup($A21, FantasyPro!$B$2:$E$318, 4, false))</f>
        <v>17</v>
      </c>
      <c r="H21" s="46">
        <f>if(ISNA(vlookup($A21, RotoWire!$B$2:$E$681, 4, false)), 0, vlookup($A21, RotoWire!$B$2:$E$681, 4, false))</f>
        <v>10</v>
      </c>
      <c r="I21" s="47">
        <f t="shared" si="1"/>
        <v>14.25</v>
      </c>
      <c r="J21" s="47">
        <f t="shared" si="2"/>
        <v>8</v>
      </c>
    </row>
    <row r="22">
      <c r="A22" s="44" t="s">
        <v>48</v>
      </c>
      <c r="B22" s="45" t="s">
        <v>49</v>
      </c>
      <c r="C22" s="45" t="s">
        <v>17</v>
      </c>
      <c r="D22" s="45">
        <v>5.0</v>
      </c>
      <c r="E22" s="46">
        <f>if(ISNA(vlookup($A22, ESPN!$B$2:$E$281, 4, false)), 0, vlookup($A22, ESPN!$B$2:$E$281, 4, false))</f>
        <v>17</v>
      </c>
      <c r="F22" s="46">
        <f>if(ISNA(vlookup($A22, Scout.com!$B$2:$E$239, 4, false)), 0, vlookup($A22, Scout.com!$B$2:$E$239, 4, false))</f>
        <v>13</v>
      </c>
      <c r="G22" s="46">
        <f>if(ISNA(vlookup($A22, FantasyPro!$B$2:$E$318, 4, false)), 0, vlookup($A22, FantasyPro!$B$2:$E$318, 4, false))</f>
        <v>16</v>
      </c>
      <c r="H22" s="46">
        <f>if(ISNA(vlookup($A22, RotoWire!$B$2:$E$681, 4, false)), 0, vlookup($A22, RotoWire!$B$2:$E$681, 4, false))</f>
        <v>10</v>
      </c>
      <c r="I22" s="47">
        <f t="shared" si="1"/>
        <v>14</v>
      </c>
      <c r="J22" s="47">
        <f t="shared" si="2"/>
        <v>7</v>
      </c>
    </row>
    <row r="23">
      <c r="A23" s="44" t="s">
        <v>56</v>
      </c>
      <c r="B23" s="45" t="s">
        <v>28</v>
      </c>
      <c r="C23" s="45" t="s">
        <v>17</v>
      </c>
      <c r="D23" s="45">
        <v>12.0</v>
      </c>
      <c r="E23" s="46">
        <f>if(ISNA(vlookup($A23, ESPN!$B$2:$E$281, 4, false)), 0, vlookup($A23, ESPN!$B$2:$E$281, 4, false))</f>
        <v>15</v>
      </c>
      <c r="F23" s="46">
        <f>if(ISNA(vlookup($A23, Scout.com!$B$2:$E$239, 4, false)), 0, vlookup($A23, Scout.com!$B$2:$E$239, 4, false))</f>
        <v>9</v>
      </c>
      <c r="G23" s="46">
        <f>if(ISNA(vlookup($A23, FantasyPro!$B$2:$E$318, 4, false)), 0, vlookup($A23, FantasyPro!$B$2:$E$318, 4, false))</f>
        <v>15</v>
      </c>
      <c r="H23" s="46">
        <f>if(ISNA(vlookup($A23, RotoWire!$B$2:$E$681, 4, false)), 0, vlookup($A23, RotoWire!$B$2:$E$681, 4, false))</f>
        <v>13</v>
      </c>
      <c r="I23" s="47">
        <f t="shared" si="1"/>
        <v>13</v>
      </c>
      <c r="J23" s="47">
        <f t="shared" si="2"/>
        <v>6</v>
      </c>
    </row>
    <row r="24">
      <c r="A24" s="44" t="s">
        <v>69</v>
      </c>
      <c r="B24" s="45" t="s">
        <v>70</v>
      </c>
      <c r="C24" s="45" t="s">
        <v>7</v>
      </c>
      <c r="D24" s="45">
        <v>11.0</v>
      </c>
      <c r="E24" s="46">
        <f>if(ISNA(vlookup($A24, ESPN!$B$2:$E$281, 4, false)), 0, vlookup($A24, ESPN!$B$2:$E$281, 4, false))</f>
        <v>12</v>
      </c>
      <c r="F24" s="46">
        <f>if(ISNA(vlookup($A24, Scout.com!$B$2:$E$239, 4, false)), 0, vlookup($A24, Scout.com!$B$2:$E$239, 4, false))</f>
        <v>9</v>
      </c>
      <c r="G24" s="46">
        <f>if(ISNA(vlookup($A24, FantasyPro!$B$2:$E$318, 4, false)), 0, vlookup($A24, FantasyPro!$B$2:$E$318, 4, false))</f>
        <v>13</v>
      </c>
      <c r="H24" s="46">
        <f>if(ISNA(vlookup($A24, RotoWire!$B$2:$E$681, 4, false)), 0, vlookup($A24, RotoWire!$B$2:$E$681, 4, false))</f>
        <v>17</v>
      </c>
      <c r="I24" s="47">
        <f t="shared" si="1"/>
        <v>12.75</v>
      </c>
      <c r="J24" s="47">
        <f t="shared" si="2"/>
        <v>8</v>
      </c>
    </row>
    <row r="25">
      <c r="A25" s="44" t="s">
        <v>73</v>
      </c>
      <c r="B25" s="45" t="s">
        <v>39</v>
      </c>
      <c r="C25" s="45" t="s">
        <v>7</v>
      </c>
      <c r="D25" s="45">
        <v>9.0</v>
      </c>
      <c r="E25" s="46">
        <f>if(ISNA(vlookup($A25, ESPN!$B$2:$E$281, 4, false)), 0, vlookup($A25, ESPN!$B$2:$E$281, 4, false))</f>
        <v>11</v>
      </c>
      <c r="F25" s="46">
        <f>if(ISNA(vlookup($A25, Scout.com!$B$2:$E$239, 4, false)), 0, vlookup($A25, Scout.com!$B$2:$E$239, 4, false))</f>
        <v>11</v>
      </c>
      <c r="G25" s="46">
        <f>if(ISNA(vlookup($A25, FantasyPro!$B$2:$E$318, 4, false)), 0, vlookup($A25, FantasyPro!$B$2:$E$318, 4, false))</f>
        <v>12</v>
      </c>
      <c r="H25" s="46">
        <f>if(ISNA(vlookup($A25, RotoWire!$B$2:$E$681, 4, false)), 0, vlookup($A25, RotoWire!$B$2:$E$681, 4, false))</f>
        <v>16</v>
      </c>
      <c r="I25" s="47">
        <f t="shared" si="1"/>
        <v>12.5</v>
      </c>
      <c r="J25" s="47">
        <f t="shared" si="2"/>
        <v>5</v>
      </c>
    </row>
    <row r="26">
      <c r="A26" s="44" t="s">
        <v>52</v>
      </c>
      <c r="B26" s="45" t="s">
        <v>53</v>
      </c>
      <c r="C26" s="45" t="s">
        <v>17</v>
      </c>
      <c r="D26" s="45">
        <v>9.0</v>
      </c>
      <c r="E26" s="46">
        <f>if(ISNA(vlookup($A26, ESPN!$B$2:$E$281, 4, false)), 0, vlookup($A26, ESPN!$B$2:$E$281, 4, false))</f>
        <v>16</v>
      </c>
      <c r="F26" s="46">
        <f>if(ISNA(vlookup($A26, Scout.com!$B$2:$E$239, 4, false)), 0, vlookup($A26, Scout.com!$B$2:$E$239, 4, false))</f>
        <v>8</v>
      </c>
      <c r="G26" s="46">
        <f>if(ISNA(vlookup($A26, FantasyPro!$B$2:$E$318, 4, false)), 0, vlookup($A26, FantasyPro!$B$2:$E$318, 4, false))</f>
        <v>13</v>
      </c>
      <c r="H26" s="46">
        <f>if(ISNA(vlookup($A26, RotoWire!$B$2:$E$681, 4, false)), 0, vlookup($A26, RotoWire!$B$2:$E$681, 4, false))</f>
        <v>13</v>
      </c>
      <c r="I26" s="47">
        <f t="shared" si="1"/>
        <v>12.5</v>
      </c>
      <c r="J26" s="47">
        <f t="shared" si="2"/>
        <v>8</v>
      </c>
    </row>
    <row r="27">
      <c r="A27" s="44" t="s">
        <v>71</v>
      </c>
      <c r="B27" s="45" t="s">
        <v>72</v>
      </c>
      <c r="C27" s="45" t="s">
        <v>7</v>
      </c>
      <c r="D27" s="45">
        <v>11.0</v>
      </c>
      <c r="E27" s="46">
        <f>if(ISNA(vlookup($A27, ESPN!$B$2:$E$281, 4, false)), 0, vlookup($A27, ESPN!$B$2:$E$281, 4, false))</f>
        <v>11</v>
      </c>
      <c r="F27" s="46">
        <f>if(ISNA(vlookup($A27, Scout.com!$B$2:$E$239, 4, false)), 0, vlookup($A27, Scout.com!$B$2:$E$239, 4, false))</f>
        <v>9</v>
      </c>
      <c r="G27" s="46">
        <f>if(ISNA(vlookup($A27, FantasyPro!$B$2:$E$318, 4, false)), 0, vlookup($A27, FantasyPro!$B$2:$E$318, 4, false))</f>
        <v>13</v>
      </c>
      <c r="H27" s="46">
        <f>if(ISNA(vlookup($A27, RotoWire!$B$2:$E$681, 4, false)), 0, vlookup($A27, RotoWire!$B$2:$E$681, 4, false))</f>
        <v>16</v>
      </c>
      <c r="I27" s="47">
        <f t="shared" si="1"/>
        <v>12.25</v>
      </c>
      <c r="J27" s="47">
        <f t="shared" si="2"/>
        <v>7</v>
      </c>
    </row>
    <row r="28">
      <c r="A28" s="44" t="s">
        <v>42</v>
      </c>
      <c r="B28" s="45" t="s">
        <v>15</v>
      </c>
      <c r="C28" s="45" t="s">
        <v>43</v>
      </c>
      <c r="D28" s="45">
        <v>11.0</v>
      </c>
      <c r="E28" s="46">
        <f>if(ISNA(vlookup($A28, ESPN!$B$2:$E$281, 4, false)), 0, vlookup($A28, ESPN!$B$2:$E$281, 4, false))</f>
        <v>18</v>
      </c>
      <c r="F28" s="46">
        <f>if(ISNA(vlookup($A28, Scout.com!$B$2:$E$239, 4, false)), 0, vlookup($A28, Scout.com!$B$2:$E$239, 4, false))</f>
        <v>9</v>
      </c>
      <c r="G28" s="46">
        <f>if(ISNA(vlookup($A28, FantasyPro!$B$2:$E$318, 4, false)), 0, vlookup($A28, FantasyPro!$B$2:$E$318, 4, false))</f>
        <v>15</v>
      </c>
      <c r="H28" s="46">
        <f>if(ISNA(vlookup($A28, RotoWire!$B$2:$E$681, 4, false)), 0, vlookup($A28, RotoWire!$B$2:$E$681, 4, false))</f>
        <v>6</v>
      </c>
      <c r="I28" s="47">
        <f t="shared" si="1"/>
        <v>12</v>
      </c>
      <c r="J28" s="47">
        <f t="shared" si="2"/>
        <v>12</v>
      </c>
    </row>
    <row r="29">
      <c r="A29" s="44" t="s">
        <v>54</v>
      </c>
      <c r="B29" s="45" t="s">
        <v>32</v>
      </c>
      <c r="C29" s="45" t="s">
        <v>17</v>
      </c>
      <c r="D29" s="45">
        <v>10.0</v>
      </c>
      <c r="E29" s="46">
        <f>if(ISNA(vlookup($A29, ESPN!$B$2:$E$281, 4, false)), 0, vlookup($A29, ESPN!$B$2:$E$281, 4, false))</f>
        <v>16</v>
      </c>
      <c r="F29" s="46">
        <f>if(ISNA(vlookup($A29, Scout.com!$B$2:$E$239, 4, false)), 0, vlookup($A29, Scout.com!$B$2:$E$239, 4, false))</f>
        <v>8</v>
      </c>
      <c r="G29" s="46">
        <f>if(ISNA(vlookup($A29, FantasyPro!$B$2:$E$318, 4, false)), 0, vlookup($A29, FantasyPro!$B$2:$E$318, 4, false))</f>
        <v>12</v>
      </c>
      <c r="H29" s="46">
        <f>if(ISNA(vlookup($A29, RotoWire!$B$2:$E$681, 4, false)), 0, vlookup($A29, RotoWire!$B$2:$E$681, 4, false))</f>
        <v>11</v>
      </c>
      <c r="I29" s="47">
        <f t="shared" si="1"/>
        <v>11.75</v>
      </c>
      <c r="J29" s="47">
        <f t="shared" si="2"/>
        <v>8</v>
      </c>
    </row>
    <row r="30">
      <c r="A30" s="44" t="s">
        <v>55</v>
      </c>
      <c r="B30" s="45" t="s">
        <v>32</v>
      </c>
      <c r="C30" s="45" t="s">
        <v>17</v>
      </c>
      <c r="D30" s="45">
        <v>10.0</v>
      </c>
      <c r="E30" s="46">
        <f>if(ISNA(vlookup($A30, ESPN!$B$2:$E$281, 4, false)), 0, vlookup($A30, ESPN!$B$2:$E$281, 4, false))</f>
        <v>16</v>
      </c>
      <c r="F30" s="46">
        <f>if(ISNA(vlookup($A30, Scout.com!$B$2:$E$239, 4, false)), 0, vlookup($A30, Scout.com!$B$2:$E$239, 4, false))</f>
        <v>9</v>
      </c>
      <c r="G30" s="46">
        <f>if(ISNA(vlookup($A30, FantasyPro!$B$2:$E$318, 4, false)), 0, vlookup($A30, FantasyPro!$B$2:$E$318, 4, false))</f>
        <v>12</v>
      </c>
      <c r="H30" s="46">
        <f>if(ISNA(vlookup($A30, RotoWire!$B$2:$E$681, 4, false)), 0, vlookup($A30, RotoWire!$B$2:$E$681, 4, false))</f>
        <v>8</v>
      </c>
      <c r="I30" s="47">
        <f t="shared" si="1"/>
        <v>11.25</v>
      </c>
      <c r="J30" s="47">
        <f t="shared" si="2"/>
        <v>8</v>
      </c>
    </row>
    <row r="31">
      <c r="A31" s="44" t="s">
        <v>74</v>
      </c>
      <c r="B31" s="45" t="s">
        <v>75</v>
      </c>
      <c r="C31" s="45" t="s">
        <v>17</v>
      </c>
      <c r="D31" s="45">
        <v>7.0</v>
      </c>
      <c r="E31" s="46">
        <f>if(ISNA(vlookup($A31, ESPN!$B$2:$E$281, 4, false)), 0, vlookup($A31, ESPN!$B$2:$E$281, 4, false))</f>
        <v>11</v>
      </c>
      <c r="F31" s="46">
        <f>if(ISNA(vlookup($A31, Scout.com!$B$2:$E$239, 4, false)), 0, vlookup($A31, Scout.com!$B$2:$E$239, 4, false))</f>
        <v>9</v>
      </c>
      <c r="G31" s="46">
        <f>if(ISNA(vlookup($A31, FantasyPro!$B$2:$E$318, 4, false)), 0, vlookup($A31, FantasyPro!$B$2:$E$318, 4, false))</f>
        <v>13</v>
      </c>
      <c r="H31" s="46">
        <f>if(ISNA(vlookup($A31, RotoWire!$B$2:$E$681, 4, false)), 0, vlookup($A31, RotoWire!$B$2:$E$681, 4, false))</f>
        <v>11</v>
      </c>
      <c r="I31" s="47">
        <f t="shared" si="1"/>
        <v>11</v>
      </c>
      <c r="J31" s="47">
        <f t="shared" si="2"/>
        <v>4</v>
      </c>
    </row>
    <row r="32">
      <c r="A32" s="44" t="s">
        <v>64</v>
      </c>
      <c r="B32" s="45" t="s">
        <v>65</v>
      </c>
      <c r="C32" s="45" t="s">
        <v>17</v>
      </c>
      <c r="D32" s="45">
        <v>7.0</v>
      </c>
      <c r="E32" s="46">
        <f>if(ISNA(vlookup($A32, ESPN!$B$2:$E$281, 4, false)), 0, vlookup($A32, ESPN!$B$2:$E$281, 4, false))</f>
        <v>13</v>
      </c>
      <c r="F32" s="46">
        <f>if(ISNA(vlookup($A32, Scout.com!$B$2:$E$239, 4, false)), 0, vlookup($A32, Scout.com!$B$2:$E$239, 4, false))</f>
        <v>7</v>
      </c>
      <c r="G32" s="46">
        <f>if(ISNA(vlookup($A32, FantasyPro!$B$2:$E$318, 4, false)), 0, vlookup($A32, FantasyPro!$B$2:$E$318, 4, false))</f>
        <v>14</v>
      </c>
      <c r="H32" s="46">
        <f>if(ISNA(vlookup($A32, RotoWire!$B$2:$E$681, 4, false)), 0, vlookup($A32, RotoWire!$B$2:$E$681, 4, false))</f>
        <v>9</v>
      </c>
      <c r="I32" s="47">
        <f t="shared" si="1"/>
        <v>10.75</v>
      </c>
      <c r="J32" s="47">
        <f t="shared" si="2"/>
        <v>7</v>
      </c>
    </row>
    <row r="33">
      <c r="A33" s="44" t="s">
        <v>96</v>
      </c>
      <c r="B33" s="45" t="s">
        <v>47</v>
      </c>
      <c r="C33" s="45" t="s">
        <v>97</v>
      </c>
      <c r="D33" s="45">
        <v>7.0</v>
      </c>
      <c r="E33" s="46">
        <f>if(ISNA(vlookup($A33, ESPN!$B$2:$E$281, 4, false)), 0, vlookup($A33, ESPN!$B$2:$E$281, 4, false))</f>
        <v>5</v>
      </c>
      <c r="F33" s="46">
        <f>if(ISNA(vlookup($A33, Scout.com!$B$2:$E$239, 4, false)), 0, vlookup($A33, Scout.com!$B$2:$E$239, 4, false))</f>
        <v>13</v>
      </c>
      <c r="G33" s="46">
        <f>if(ISNA(vlookup($A33, FantasyPro!$B$2:$E$318, 4, false)), 0, vlookup($A33, FantasyPro!$B$2:$E$318, 4, false))</f>
        <v>11</v>
      </c>
      <c r="H33" s="46">
        <f>if(ISNA(vlookup($A33, RotoWire!$B$2:$E$681, 4, false)), 0, vlookup($A33, RotoWire!$B$2:$E$681, 4, false))</f>
        <v>12</v>
      </c>
      <c r="I33" s="47">
        <f t="shared" si="1"/>
        <v>10.25</v>
      </c>
      <c r="J33" s="47">
        <f t="shared" si="2"/>
        <v>8</v>
      </c>
    </row>
    <row r="34">
      <c r="A34" s="44" t="s">
        <v>80</v>
      </c>
      <c r="B34" s="45" t="s">
        <v>45</v>
      </c>
      <c r="C34" s="45" t="s">
        <v>7</v>
      </c>
      <c r="D34" s="45">
        <v>11.0</v>
      </c>
      <c r="E34" s="46">
        <f>if(ISNA(vlookup($A34, ESPN!$B$2:$E$281, 4, false)), 0, vlookup($A34, ESPN!$B$2:$E$281, 4, false))</f>
        <v>9</v>
      </c>
      <c r="F34" s="46">
        <f>if(ISNA(vlookup($A34, Scout.com!$B$2:$E$239, 4, false)), 0, vlookup($A34, Scout.com!$B$2:$E$239, 4, false))</f>
        <v>6</v>
      </c>
      <c r="G34" s="46">
        <f>if(ISNA(vlookup($A34, FantasyPro!$B$2:$E$318, 4, false)), 0, vlookup($A34, FantasyPro!$B$2:$E$318, 4, false))</f>
        <v>10</v>
      </c>
      <c r="H34" s="46">
        <f>if(ISNA(vlookup($A34, RotoWire!$B$2:$E$681, 4, false)), 0, vlookup($A34, RotoWire!$B$2:$E$681, 4, false))</f>
        <v>16</v>
      </c>
      <c r="I34" s="47">
        <f t="shared" si="1"/>
        <v>10.25</v>
      </c>
      <c r="J34" s="47">
        <f t="shared" si="2"/>
        <v>10</v>
      </c>
    </row>
    <row r="35">
      <c r="A35" s="44" t="s">
        <v>87</v>
      </c>
      <c r="B35" s="45" t="s">
        <v>88</v>
      </c>
      <c r="C35" s="45" t="s">
        <v>7</v>
      </c>
      <c r="D35" s="45">
        <v>10.0</v>
      </c>
      <c r="E35" s="46">
        <f>if(ISNA(vlookup($A35, ESPN!$B$2:$E$281, 4, false)), 0, vlookup($A35, ESPN!$B$2:$E$281, 4, false))</f>
        <v>7</v>
      </c>
      <c r="F35" s="46">
        <f>if(ISNA(vlookup($A35, Scout.com!$B$2:$E$239, 4, false)), 0, vlookup($A35, Scout.com!$B$2:$E$239, 4, false))</f>
        <v>5</v>
      </c>
      <c r="G35" s="46">
        <f>if(ISNA(vlookup($A35, FantasyPro!$B$2:$E$318, 4, false)), 0, vlookup($A35, FantasyPro!$B$2:$E$318, 4, false))</f>
        <v>12</v>
      </c>
      <c r="H35" s="46">
        <f>if(ISNA(vlookup($A35, RotoWire!$B$2:$E$681, 4, false)), 0, vlookup($A35, RotoWire!$B$2:$E$681, 4, false))</f>
        <v>16</v>
      </c>
      <c r="I35" s="47">
        <f t="shared" si="1"/>
        <v>10</v>
      </c>
      <c r="J35" s="47">
        <f t="shared" si="2"/>
        <v>11</v>
      </c>
    </row>
    <row r="36">
      <c r="A36" s="44" t="s">
        <v>62</v>
      </c>
      <c r="B36" s="45" t="s">
        <v>63</v>
      </c>
      <c r="C36" s="45" t="s">
        <v>17</v>
      </c>
      <c r="D36" s="45">
        <v>10.0</v>
      </c>
      <c r="E36" s="46">
        <f>if(ISNA(vlookup($A36, ESPN!$B$2:$E$281, 4, false)), 0, vlookup($A36, ESPN!$B$2:$E$281, 4, false))</f>
        <v>13</v>
      </c>
      <c r="F36" s="46">
        <f>if(ISNA(vlookup($A36, Scout.com!$B$2:$E$239, 4, false)), 0, vlookup($A36, Scout.com!$B$2:$E$239, 4, false))</f>
        <v>6</v>
      </c>
      <c r="G36" s="46">
        <f>if(ISNA(vlookup($A36, FantasyPro!$B$2:$E$318, 4, false)), 0, vlookup($A36, FantasyPro!$B$2:$E$318, 4, false))</f>
        <v>11</v>
      </c>
      <c r="H36" s="46">
        <f>if(ISNA(vlookup($A36, RotoWire!$B$2:$E$681, 4, false)), 0, vlookup($A36, RotoWire!$B$2:$E$681, 4, false))</f>
        <v>10</v>
      </c>
      <c r="I36" s="47">
        <f t="shared" si="1"/>
        <v>10</v>
      </c>
      <c r="J36" s="47">
        <f t="shared" si="2"/>
        <v>7</v>
      </c>
    </row>
    <row r="37">
      <c r="A37" s="44" t="s">
        <v>82</v>
      </c>
      <c r="B37" s="45" t="s">
        <v>83</v>
      </c>
      <c r="C37" s="45" t="s">
        <v>7</v>
      </c>
      <c r="D37" s="45">
        <v>8.0</v>
      </c>
      <c r="E37" s="46">
        <f>if(ISNA(vlookup($A37, ESPN!$B$2:$E$281, 4, false)), 0, vlookup($A37, ESPN!$B$2:$E$281, 4, false))</f>
        <v>9</v>
      </c>
      <c r="F37" s="46">
        <f>if(ISNA(vlookup($A37, Scout.com!$B$2:$E$239, 4, false)), 0, vlookup($A37, Scout.com!$B$2:$E$239, 4, false))</f>
        <v>7</v>
      </c>
      <c r="G37" s="46">
        <f>if(ISNA(vlookup($A37, FantasyPro!$B$2:$E$318, 4, false)), 0, vlookup($A37, FantasyPro!$B$2:$E$318, 4, false))</f>
        <v>11</v>
      </c>
      <c r="H37" s="46">
        <f>if(ISNA(vlookup($A37, RotoWire!$B$2:$E$681, 4, false)), 0, vlookup($A37, RotoWire!$B$2:$E$681, 4, false))</f>
        <v>13</v>
      </c>
      <c r="I37" s="47">
        <f t="shared" si="1"/>
        <v>10</v>
      </c>
      <c r="J37" s="47">
        <f t="shared" si="2"/>
        <v>6</v>
      </c>
    </row>
    <row r="38">
      <c r="A38" s="44" t="s">
        <v>98</v>
      </c>
      <c r="B38" s="45" t="s">
        <v>15</v>
      </c>
      <c r="C38" s="45" t="s">
        <v>97</v>
      </c>
      <c r="D38" s="45">
        <v>11.0</v>
      </c>
      <c r="E38" s="46">
        <f>if(ISNA(vlookup($A38, ESPN!$B$2:$E$281, 4, false)), 0, vlookup($A38, ESPN!$B$2:$E$281, 4, false))</f>
        <v>5</v>
      </c>
      <c r="F38" s="46">
        <f>if(ISNA(vlookup($A38, Scout.com!$B$2:$E$239, 4, false)), 0, vlookup($A38, Scout.com!$B$2:$E$239, 4, false))</f>
        <v>7</v>
      </c>
      <c r="G38" s="46">
        <f>if(ISNA(vlookup($A38, FantasyPro!$B$2:$E$318, 4, false)), 0, vlookup($A38, FantasyPro!$B$2:$E$318, 4, false))</f>
        <v>8</v>
      </c>
      <c r="H38" s="46">
        <f>if(ISNA(vlookup($A38, RotoWire!$B$2:$E$681, 4, false)), 0, vlookup($A38, RotoWire!$B$2:$E$681, 4, false))</f>
        <v>20</v>
      </c>
      <c r="I38" s="47">
        <f t="shared" si="1"/>
        <v>10</v>
      </c>
      <c r="J38" s="47">
        <f t="shared" si="2"/>
        <v>15</v>
      </c>
    </row>
    <row r="39">
      <c r="A39" s="44" t="s">
        <v>58</v>
      </c>
      <c r="B39" s="45" t="s">
        <v>28</v>
      </c>
      <c r="C39" s="45" t="s">
        <v>43</v>
      </c>
      <c r="D39" s="45">
        <v>12.0</v>
      </c>
      <c r="E39" s="46">
        <f>if(ISNA(vlookup($A39, ESPN!$B$2:$E$281, 4, false)), 0, vlookup($A39, ESPN!$B$2:$E$281, 4, false))</f>
        <v>14</v>
      </c>
      <c r="F39" s="46">
        <f>if(ISNA(vlookup($A39, Scout.com!$B$2:$E$239, 4, false)), 0, vlookup($A39, Scout.com!$B$2:$E$239, 4, false))</f>
        <v>9</v>
      </c>
      <c r="G39" s="46">
        <f>if(ISNA(vlookup($A39, FantasyPro!$B$2:$E$318, 4, false)), 0, vlookup($A39, FantasyPro!$B$2:$E$318, 4, false))</f>
        <v>11</v>
      </c>
      <c r="H39" s="46">
        <f>if(ISNA(vlookup($A39, RotoWire!$B$2:$E$681, 4, false)), 0, vlookup($A39, RotoWire!$B$2:$E$681, 4, false))</f>
        <v>6</v>
      </c>
      <c r="I39" s="47">
        <f t="shared" si="1"/>
        <v>10</v>
      </c>
      <c r="J39" s="47">
        <f t="shared" si="2"/>
        <v>8</v>
      </c>
    </row>
    <row r="40">
      <c r="A40" s="44" t="s">
        <v>81</v>
      </c>
      <c r="B40" s="45" t="s">
        <v>63</v>
      </c>
      <c r="C40" s="45" t="s">
        <v>7</v>
      </c>
      <c r="D40" s="45">
        <v>10.0</v>
      </c>
      <c r="E40" s="46">
        <f>if(ISNA(vlookup($A40, ESPN!$B$2:$E$281, 4, false)), 0, vlookup($A40, ESPN!$B$2:$E$281, 4, false))</f>
        <v>9</v>
      </c>
      <c r="F40" s="46">
        <f>if(ISNA(vlookup($A40, Scout.com!$B$2:$E$239, 4, false)), 0, vlookup($A40, Scout.com!$B$2:$E$239, 4, false))</f>
        <v>8</v>
      </c>
      <c r="G40" s="46">
        <f>if(ISNA(vlookup($A40, FantasyPro!$B$2:$E$318, 4, false)), 0, vlookup($A40, FantasyPro!$B$2:$E$318, 4, false))</f>
        <v>9</v>
      </c>
      <c r="H40" s="46">
        <f>if(ISNA(vlookup($A40, RotoWire!$B$2:$E$681, 4, false)), 0, vlookup($A40, RotoWire!$B$2:$E$681, 4, false))</f>
        <v>12</v>
      </c>
      <c r="I40" s="47">
        <f t="shared" si="1"/>
        <v>9.5</v>
      </c>
      <c r="J40" s="47">
        <f t="shared" si="2"/>
        <v>4</v>
      </c>
    </row>
    <row r="41">
      <c r="A41" s="44" t="s">
        <v>61</v>
      </c>
      <c r="B41" s="45" t="s">
        <v>51</v>
      </c>
      <c r="C41" s="45" t="s">
        <v>17</v>
      </c>
      <c r="D41" s="45">
        <v>5.0</v>
      </c>
      <c r="E41" s="46">
        <f>if(ISNA(vlookup($A41, ESPN!$B$2:$E$281, 4, false)), 0, vlookup($A41, ESPN!$B$2:$E$281, 4, false))</f>
        <v>14</v>
      </c>
      <c r="F41" s="46">
        <f>if(ISNA(vlookup($A41, Scout.com!$B$2:$E$239, 4, false)), 0, vlookup($A41, Scout.com!$B$2:$E$239, 4, false))</f>
        <v>8</v>
      </c>
      <c r="G41" s="46">
        <f>if(ISNA(vlookup($A41, FantasyPro!$B$2:$E$318, 4, false)), 0, vlookup($A41, FantasyPro!$B$2:$E$318, 4, false))</f>
        <v>9</v>
      </c>
      <c r="H41" s="46">
        <f>if(ISNA(vlookup($A41, RotoWire!$B$2:$E$681, 4, false)), 0, vlookup($A41, RotoWire!$B$2:$E$681, 4, false))</f>
        <v>6</v>
      </c>
      <c r="I41" s="47">
        <f t="shared" si="1"/>
        <v>9.25</v>
      </c>
      <c r="J41" s="47">
        <f t="shared" si="2"/>
        <v>8</v>
      </c>
    </row>
    <row r="42">
      <c r="A42" s="44" t="s">
        <v>84</v>
      </c>
      <c r="B42" s="45" t="s">
        <v>60</v>
      </c>
      <c r="C42" s="45" t="s">
        <v>7</v>
      </c>
      <c r="D42" s="45">
        <v>9.0</v>
      </c>
      <c r="E42" s="46">
        <f>if(ISNA(vlookup($A42, ESPN!$B$2:$E$281, 4, false)), 0, vlookup($A42, ESPN!$B$2:$E$281, 4, false))</f>
        <v>8</v>
      </c>
      <c r="F42" s="46">
        <f>if(ISNA(vlookup($A42, Scout.com!$B$2:$E$239, 4, false)), 0, vlookup($A42, Scout.com!$B$2:$E$239, 4, false))</f>
        <v>6</v>
      </c>
      <c r="G42" s="46">
        <f>if(ISNA(vlookup($A42, FantasyPro!$B$2:$E$318, 4, false)), 0, vlookup($A42, FantasyPro!$B$2:$E$318, 4, false))</f>
        <v>10</v>
      </c>
      <c r="H42" s="46">
        <f>if(ISNA(vlookup($A42, RotoWire!$B$2:$E$681, 4, false)), 0, vlookup($A42, RotoWire!$B$2:$E$681, 4, false))</f>
        <v>13</v>
      </c>
      <c r="I42" s="47">
        <f t="shared" si="1"/>
        <v>9.25</v>
      </c>
      <c r="J42" s="47">
        <f t="shared" si="2"/>
        <v>7</v>
      </c>
    </row>
    <row r="43">
      <c r="A43" s="44" t="s">
        <v>57</v>
      </c>
      <c r="B43" s="45" t="s">
        <v>11</v>
      </c>
      <c r="C43" s="45" t="s">
        <v>17</v>
      </c>
      <c r="D43" s="45">
        <v>9.0</v>
      </c>
      <c r="E43" s="46">
        <f>if(ISNA(vlookup($A43, ESPN!$B$2:$E$281, 4, false)), 0, vlookup($A43, ESPN!$B$2:$E$281, 4, false))</f>
        <v>15</v>
      </c>
      <c r="F43" s="46">
        <f>if(ISNA(vlookup($A43, Scout.com!$B$2:$E$239, 4, false)), 0, vlookup($A43, Scout.com!$B$2:$E$239, 4, false))</f>
        <v>6</v>
      </c>
      <c r="G43" s="46">
        <f>if(ISNA(vlookup($A43, FantasyPro!$B$2:$E$318, 4, false)), 0, vlookup($A43, FantasyPro!$B$2:$E$318, 4, false))</f>
        <v>11</v>
      </c>
      <c r="H43" s="46">
        <f>if(ISNA(vlookup($A43, RotoWire!$B$2:$E$681, 4, false)), 0, vlookup($A43, RotoWire!$B$2:$E$681, 4, false))</f>
        <v>5</v>
      </c>
      <c r="I43" s="47">
        <f t="shared" si="1"/>
        <v>9.25</v>
      </c>
      <c r="J43" s="47">
        <f t="shared" si="2"/>
        <v>10</v>
      </c>
    </row>
    <row r="44">
      <c r="A44" s="44" t="s">
        <v>66</v>
      </c>
      <c r="B44" s="45" t="s">
        <v>67</v>
      </c>
      <c r="C44" s="45" t="s">
        <v>17</v>
      </c>
      <c r="D44" s="45">
        <v>11.0</v>
      </c>
      <c r="E44" s="46">
        <f>if(ISNA(vlookup($A44, ESPN!$B$2:$E$281, 4, false)), 0, vlookup($A44, ESPN!$B$2:$E$281, 4, false))</f>
        <v>13</v>
      </c>
      <c r="F44" s="46">
        <f>if(ISNA(vlookup($A44, Scout.com!$B$2:$E$239, 4, false)), 0, vlookup($A44, Scout.com!$B$2:$E$239, 4, false))</f>
        <v>6</v>
      </c>
      <c r="G44" s="46">
        <f>if(ISNA(vlookup($A44, FantasyPro!$B$2:$E$318, 4, false)), 0, vlookup($A44, FantasyPro!$B$2:$E$318, 4, false))</f>
        <v>11</v>
      </c>
      <c r="H44" s="46">
        <f>if(ISNA(vlookup($A44, RotoWire!$B$2:$E$681, 4, false)), 0, vlookup($A44, RotoWire!$B$2:$E$681, 4, false))</f>
        <v>5</v>
      </c>
      <c r="I44" s="47">
        <f t="shared" si="1"/>
        <v>8.75</v>
      </c>
      <c r="J44" s="47">
        <f t="shared" si="2"/>
        <v>8</v>
      </c>
    </row>
    <row r="45">
      <c r="A45" s="44" t="s">
        <v>78</v>
      </c>
      <c r="B45" s="45" t="s">
        <v>9</v>
      </c>
      <c r="C45" s="45" t="s">
        <v>17</v>
      </c>
      <c r="D45" s="45">
        <v>12.0</v>
      </c>
      <c r="E45" s="46">
        <f>if(ISNA(vlookup($A45, ESPN!$B$2:$E$281, 4, false)), 0, vlookup($A45, ESPN!$B$2:$E$281, 4, false))</f>
        <v>10</v>
      </c>
      <c r="F45" s="46">
        <f>if(ISNA(vlookup($A45, Scout.com!$B$2:$E$239, 4, false)), 0, vlookup($A45, Scout.com!$B$2:$E$239, 4, false))</f>
        <v>7</v>
      </c>
      <c r="G45" s="46">
        <f>if(ISNA(vlookup($A45, FantasyPro!$B$2:$E$318, 4, false)), 0, vlookup($A45, FantasyPro!$B$2:$E$318, 4, false))</f>
        <v>10</v>
      </c>
      <c r="H45" s="46">
        <f>if(ISNA(vlookup($A45, RotoWire!$B$2:$E$681, 4, false)), 0, vlookup($A45, RotoWire!$B$2:$E$681, 4, false))</f>
        <v>7</v>
      </c>
      <c r="I45" s="47">
        <f t="shared" si="1"/>
        <v>8.5</v>
      </c>
      <c r="J45" s="47">
        <f t="shared" si="2"/>
        <v>3</v>
      </c>
    </row>
    <row r="46">
      <c r="A46" s="44" t="s">
        <v>391</v>
      </c>
      <c r="B46" s="45" t="s">
        <v>6</v>
      </c>
      <c r="C46" s="45" t="s">
        <v>17</v>
      </c>
      <c r="D46" s="45">
        <v>7.0</v>
      </c>
      <c r="E46" s="46">
        <f>if(ISNA(vlookup($A46, ESPN!$B$2:$E$281, 4, false)), 0, vlookup($A46, ESPN!$B$2:$E$281, 4, false))</f>
        <v>6</v>
      </c>
      <c r="F46" s="46">
        <f>if(ISNA(vlookup($A46, Scout.com!$B$2:$E$239, 4, false)), 0, vlookup($A46, Scout.com!$B$2:$E$239, 4, false))</f>
        <v>8</v>
      </c>
      <c r="G46" s="46">
        <f>if(ISNA(vlookup($A46, FantasyPro!$B$2:$E$318, 4, false)), 0, vlookup($A46, FantasyPro!$B$2:$E$318, 4, false))</f>
        <v>11</v>
      </c>
      <c r="H46" s="46">
        <f>if(ISNA(vlookup($A46, RotoWire!$B$2:$E$681, 4, false)), 0, vlookup($A46, RotoWire!$B$2:$E$681, 4, false))</f>
        <v>9</v>
      </c>
      <c r="I46" s="47">
        <f t="shared" si="1"/>
        <v>8.5</v>
      </c>
      <c r="J46" s="47">
        <f t="shared" si="2"/>
        <v>5</v>
      </c>
    </row>
    <row r="47">
      <c r="A47" s="44" t="s">
        <v>79</v>
      </c>
      <c r="B47" s="45" t="s">
        <v>77</v>
      </c>
      <c r="C47" s="45" t="s">
        <v>17</v>
      </c>
      <c r="D47" s="45">
        <v>6.0</v>
      </c>
      <c r="E47" s="46">
        <f>if(ISNA(vlookup($A47, ESPN!$B$2:$E$281, 4, false)), 0, vlookup($A47, ESPN!$B$2:$E$281, 4, false))</f>
        <v>10</v>
      </c>
      <c r="F47" s="46">
        <f>if(ISNA(vlookup($A47, Scout.com!$B$2:$E$239, 4, false)), 0, vlookup($A47, Scout.com!$B$2:$E$239, 4, false))</f>
        <v>5</v>
      </c>
      <c r="G47" s="46">
        <f>if(ISNA(vlookup($A47, FantasyPro!$B$2:$E$318, 4, false)), 0, vlookup($A47, FantasyPro!$B$2:$E$318, 4, false))</f>
        <v>10</v>
      </c>
      <c r="H47" s="46">
        <f>if(ISNA(vlookup($A47, RotoWire!$B$2:$E$681, 4, false)), 0, vlookup($A47, RotoWire!$B$2:$E$681, 4, false))</f>
        <v>8</v>
      </c>
      <c r="I47" s="47">
        <f t="shared" si="1"/>
        <v>8.25</v>
      </c>
      <c r="J47" s="47">
        <f t="shared" si="2"/>
        <v>5</v>
      </c>
    </row>
    <row r="48">
      <c r="A48" s="44" t="s">
        <v>76</v>
      </c>
      <c r="B48" s="45" t="s">
        <v>77</v>
      </c>
      <c r="C48" s="45" t="s">
        <v>17</v>
      </c>
      <c r="D48" s="45">
        <v>6.0</v>
      </c>
      <c r="E48" s="46">
        <f>if(ISNA(vlookup($A48, ESPN!$B$2:$E$281, 4, false)), 0, vlookup($A48, ESPN!$B$2:$E$281, 4, false))</f>
        <v>10</v>
      </c>
      <c r="F48" s="46">
        <f>if(ISNA(vlookup($A48, Scout.com!$B$2:$E$239, 4, false)), 0, vlookup($A48, Scout.com!$B$2:$E$239, 4, false))</f>
        <v>4</v>
      </c>
      <c r="G48" s="46">
        <f>if(ISNA(vlookup($A48, FantasyPro!$B$2:$E$318, 4, false)), 0, vlookup($A48, FantasyPro!$B$2:$E$318, 4, false))</f>
        <v>11</v>
      </c>
      <c r="H48" s="46">
        <f>if(ISNA(vlookup($A48, RotoWire!$B$2:$E$681, 4, false)), 0, vlookup($A48, RotoWire!$B$2:$E$681, 4, false))</f>
        <v>8</v>
      </c>
      <c r="I48" s="47">
        <f t="shared" si="1"/>
        <v>8.25</v>
      </c>
      <c r="J48" s="47">
        <f t="shared" si="2"/>
        <v>7</v>
      </c>
    </row>
    <row r="49">
      <c r="A49" s="44" t="s">
        <v>59</v>
      </c>
      <c r="B49" s="45" t="s">
        <v>60</v>
      </c>
      <c r="C49" s="45" t="s">
        <v>43</v>
      </c>
      <c r="D49" s="45">
        <v>9.0</v>
      </c>
      <c r="E49" s="46">
        <f>if(ISNA(vlookup($A49, ESPN!$B$2:$E$281, 4, false)), 0, vlookup($A49, ESPN!$B$2:$E$281, 4, false))</f>
        <v>14</v>
      </c>
      <c r="F49" s="46">
        <f>if(ISNA(vlookup($A49, Scout.com!$B$2:$E$239, 4, false)), 0, vlookup($A49, Scout.com!$B$2:$E$239, 4, false))</f>
        <v>8</v>
      </c>
      <c r="G49" s="46">
        <f>if(ISNA(vlookup($A49, FantasyPro!$B$2:$E$318, 4, false)), 0, vlookup($A49, FantasyPro!$B$2:$E$318, 4, false))</f>
        <v>8</v>
      </c>
      <c r="H49" s="46">
        <f>if(ISNA(vlookup($A49, RotoWire!$B$2:$E$681, 4, false)), 0, vlookup($A49, RotoWire!$B$2:$E$681, 4, false))</f>
        <v>3</v>
      </c>
      <c r="I49" s="47">
        <f t="shared" si="1"/>
        <v>8.25</v>
      </c>
      <c r="J49" s="47">
        <f t="shared" si="2"/>
        <v>11</v>
      </c>
    </row>
    <row r="50">
      <c r="A50" s="44" t="s">
        <v>99</v>
      </c>
      <c r="B50" s="45" t="s">
        <v>26</v>
      </c>
      <c r="C50" s="45" t="s">
        <v>7</v>
      </c>
      <c r="D50" s="45">
        <v>10.0</v>
      </c>
      <c r="E50" s="46">
        <f>if(ISNA(vlookup($A50, ESPN!$B$2:$E$281, 4, false)), 0, vlookup($A50, ESPN!$B$2:$E$281, 4, false))</f>
        <v>5</v>
      </c>
      <c r="F50" s="46">
        <f>if(ISNA(vlookup($A50, Scout.com!$B$2:$E$239, 4, false)), 0, vlookup($A50, Scout.com!$B$2:$E$239, 4, false))</f>
        <v>5</v>
      </c>
      <c r="G50" s="46">
        <f>if(ISNA(vlookup($A50, FantasyPro!$B$2:$E$318, 4, false)), 0, vlookup($A50, FantasyPro!$B$2:$E$318, 4, false))</f>
        <v>9</v>
      </c>
      <c r="H50" s="46">
        <f>if(ISNA(vlookup($A50, RotoWire!$B$2:$E$681, 4, false)), 0, vlookup($A50, RotoWire!$B$2:$E$681, 4, false))</f>
        <v>12</v>
      </c>
      <c r="I50" s="47">
        <f t="shared" si="1"/>
        <v>7.75</v>
      </c>
      <c r="J50" s="47">
        <f t="shared" si="2"/>
        <v>7</v>
      </c>
    </row>
    <row r="51">
      <c r="A51" s="44" t="s">
        <v>108</v>
      </c>
      <c r="B51" s="45" t="s">
        <v>65</v>
      </c>
      <c r="C51" s="45" t="s">
        <v>97</v>
      </c>
      <c r="D51" s="45">
        <v>7.0</v>
      </c>
      <c r="E51" s="46">
        <f>if(ISNA(vlookup($A51, ESPN!$B$2:$E$281, 4, false)), 0, vlookup($A51, ESPN!$B$2:$E$281, 4, false))</f>
        <v>3</v>
      </c>
      <c r="F51" s="46">
        <f>if(ISNA(vlookup($A51, Scout.com!$B$2:$E$239, 4, false)), 0, vlookup($A51, Scout.com!$B$2:$E$239, 4, false))</f>
        <v>11</v>
      </c>
      <c r="G51" s="46">
        <f>if(ISNA(vlookup($A51, FantasyPro!$B$2:$E$318, 4, false)), 0, vlookup($A51, FantasyPro!$B$2:$E$318, 4, false))</f>
        <v>8</v>
      </c>
      <c r="H51" s="46">
        <f>if(ISNA(vlookup($A51, RotoWire!$B$2:$E$681, 4, false)), 0, vlookup($A51, RotoWire!$B$2:$E$681, 4, false))</f>
        <v>9</v>
      </c>
      <c r="I51" s="47">
        <f t="shared" si="1"/>
        <v>7.75</v>
      </c>
      <c r="J51" s="47">
        <f t="shared" si="2"/>
        <v>8</v>
      </c>
    </row>
    <row r="52">
      <c r="A52" s="44" t="s">
        <v>68</v>
      </c>
      <c r="B52" s="45" t="s">
        <v>60</v>
      </c>
      <c r="C52" s="45" t="s">
        <v>17</v>
      </c>
      <c r="D52" s="45">
        <v>9.0</v>
      </c>
      <c r="E52" s="46">
        <f>if(ISNA(vlookup($A52, ESPN!$B$2:$E$281, 4, false)), 0, vlookup($A52, ESPN!$B$2:$E$281, 4, false))</f>
        <v>12</v>
      </c>
      <c r="F52" s="46">
        <f>if(ISNA(vlookup($A52, Scout.com!$B$2:$E$239, 4, false)), 0, vlookup($A52, Scout.com!$B$2:$E$239, 4, false))</f>
        <v>6</v>
      </c>
      <c r="G52" s="46">
        <f>if(ISNA(vlookup($A52, FantasyPro!$B$2:$E$318, 4, false)), 0, vlookup($A52, FantasyPro!$B$2:$E$318, 4, false))</f>
        <v>7</v>
      </c>
      <c r="H52" s="46">
        <f>if(ISNA(vlookup($A52, RotoWire!$B$2:$E$681, 4, false)), 0, vlookup($A52, RotoWire!$B$2:$E$681, 4, false))</f>
        <v>4</v>
      </c>
      <c r="I52" s="47">
        <f t="shared" si="1"/>
        <v>7.25</v>
      </c>
      <c r="J52" s="47">
        <f t="shared" si="2"/>
        <v>8</v>
      </c>
    </row>
    <row r="53">
      <c r="A53" s="44" t="s">
        <v>89</v>
      </c>
      <c r="B53" s="45" t="s">
        <v>75</v>
      </c>
      <c r="C53" s="45" t="s">
        <v>7</v>
      </c>
      <c r="D53" s="45">
        <v>7.0</v>
      </c>
      <c r="E53" s="46">
        <f>if(ISNA(vlookup($A53, ESPN!$B$2:$E$281, 4, false)), 0, vlookup($A53, ESPN!$B$2:$E$281, 4, false))</f>
        <v>6</v>
      </c>
      <c r="F53" s="46">
        <f>if(ISNA(vlookup($A53, Scout.com!$B$2:$E$239, 4, false)), 0, vlookup($A53, Scout.com!$B$2:$E$239, 4, false))</f>
        <v>3</v>
      </c>
      <c r="G53" s="46">
        <f>if(ISNA(vlookup($A53, FantasyPro!$B$2:$E$318, 4, false)), 0, vlookup($A53, FantasyPro!$B$2:$E$318, 4, false))</f>
        <v>6</v>
      </c>
      <c r="H53" s="46">
        <f>if(ISNA(vlookup($A53, RotoWire!$B$2:$E$681, 4, false)), 0, vlookup($A53, RotoWire!$B$2:$E$681, 4, false))</f>
        <v>14</v>
      </c>
      <c r="I53" s="47">
        <f t="shared" si="1"/>
        <v>7.25</v>
      </c>
      <c r="J53" s="47">
        <f t="shared" si="2"/>
        <v>11</v>
      </c>
    </row>
    <row r="54">
      <c r="A54" s="44" t="s">
        <v>85</v>
      </c>
      <c r="B54" s="45" t="s">
        <v>65</v>
      </c>
      <c r="C54" s="45" t="s">
        <v>7</v>
      </c>
      <c r="D54" s="45">
        <v>7.0</v>
      </c>
      <c r="E54" s="46">
        <f>if(ISNA(vlookup($A54, ESPN!$B$2:$E$281, 4, false)), 0, vlookup($A54, ESPN!$B$2:$E$281, 4, false))</f>
        <v>8</v>
      </c>
      <c r="F54" s="46">
        <f>if(ISNA(vlookup($A54, Scout.com!$B$2:$E$239, 4, false)), 0, vlookup($A54, Scout.com!$B$2:$E$239, 4, false))</f>
        <v>11</v>
      </c>
      <c r="G54" s="46">
        <f>if(ISNA(vlookup($A54, FantasyPro!$B$2:$E$318, 4, false)), 0, vlookup($A54, FantasyPro!$B$2:$E$318, 4, false))</f>
        <v>3</v>
      </c>
      <c r="H54" s="46">
        <f>if(ISNA(vlookup($A54, RotoWire!$B$2:$E$681, 4, false)), 0, vlookup($A54, RotoWire!$B$2:$E$681, 4, false))</f>
        <v>7</v>
      </c>
      <c r="I54" s="47">
        <f t="shared" si="1"/>
        <v>7.25</v>
      </c>
      <c r="J54" s="47">
        <f t="shared" si="2"/>
        <v>8</v>
      </c>
    </row>
    <row r="55">
      <c r="A55" s="44" t="s">
        <v>91</v>
      </c>
      <c r="B55" s="45" t="s">
        <v>67</v>
      </c>
      <c r="C55" s="45" t="s">
        <v>17</v>
      </c>
      <c r="D55" s="45">
        <v>11.0</v>
      </c>
      <c r="E55" s="46">
        <f>if(ISNA(vlookup($A55, ESPN!$B$2:$E$281, 4, false)), 0, vlookup($A55, ESPN!$B$2:$E$281, 4, false))</f>
        <v>6</v>
      </c>
      <c r="F55" s="46">
        <f>if(ISNA(vlookup($A55, Scout.com!$B$2:$E$239, 4, false)), 0, vlookup($A55, Scout.com!$B$2:$E$239, 4, false))</f>
        <v>7</v>
      </c>
      <c r="G55" s="46">
        <f>if(ISNA(vlookup($A55, FantasyPro!$B$2:$E$318, 4, false)), 0, vlookup($A55, FantasyPro!$B$2:$E$318, 4, false))</f>
        <v>8</v>
      </c>
      <c r="H55" s="46">
        <f>if(ISNA(vlookup($A55, RotoWire!$B$2:$E$681, 4, false)), 0, vlookup($A55, RotoWire!$B$2:$E$681, 4, false))</f>
        <v>7</v>
      </c>
      <c r="I55" s="47">
        <f t="shared" si="1"/>
        <v>7</v>
      </c>
      <c r="J55" s="47">
        <f t="shared" si="2"/>
        <v>2</v>
      </c>
    </row>
    <row r="56">
      <c r="A56" s="44" t="s">
        <v>128</v>
      </c>
      <c r="B56" s="45" t="s">
        <v>21</v>
      </c>
      <c r="C56" s="45" t="s">
        <v>7</v>
      </c>
      <c r="D56" s="45">
        <v>6.0</v>
      </c>
      <c r="E56" s="46">
        <f>if(ISNA(vlookup($A56, ESPN!$B$2:$E$281, 4, false)), 0, vlookup($A56, ESPN!$B$2:$E$281, 4, false))</f>
        <v>2</v>
      </c>
      <c r="F56" s="46">
        <f>if(ISNA(vlookup($A56, Scout.com!$B$2:$E$239, 4, false)), 0, vlookup($A56, Scout.com!$B$2:$E$239, 4, false))</f>
        <v>6</v>
      </c>
      <c r="G56" s="46">
        <f>if(ISNA(vlookup($A56, FantasyPro!$B$2:$E$318, 4, false)), 0, vlookup($A56, FantasyPro!$B$2:$E$318, 4, false))</f>
        <v>6</v>
      </c>
      <c r="H56" s="46">
        <f>if(ISNA(vlookup($A56, RotoWire!$B$2:$E$681, 4, false)), 0, vlookup($A56, RotoWire!$B$2:$E$681, 4, false))</f>
        <v>13</v>
      </c>
      <c r="I56" s="47">
        <f t="shared" si="1"/>
        <v>6.75</v>
      </c>
      <c r="J56" s="47">
        <f t="shared" si="2"/>
        <v>11</v>
      </c>
    </row>
    <row r="57">
      <c r="A57" s="44" t="s">
        <v>169</v>
      </c>
      <c r="B57" s="45" t="s">
        <v>21</v>
      </c>
      <c r="C57" s="45" t="s">
        <v>97</v>
      </c>
      <c r="D57" s="45">
        <v>6.0</v>
      </c>
      <c r="E57" s="46">
        <f>if(ISNA(vlookup($A57, ESPN!$B$2:$E$281, 4, false)), 0, vlookup($A57, ESPN!$B$2:$E$281, 4, false))</f>
        <v>1</v>
      </c>
      <c r="F57" s="46">
        <f>if(ISNA(vlookup($A57, Scout.com!$B$2:$E$239, 4, false)), 0, vlookup($A57, Scout.com!$B$2:$E$239, 4, false))</f>
        <v>6</v>
      </c>
      <c r="G57" s="46">
        <f>if(ISNA(vlookup($A57, FantasyPro!$B$2:$E$318, 4, false)), 0, vlookup($A57, FantasyPro!$B$2:$E$318, 4, false))</f>
        <v>6</v>
      </c>
      <c r="H57" s="46">
        <f>if(ISNA(vlookup($A57, RotoWire!$B$2:$E$681, 4, false)), 0, vlookup($A57, RotoWire!$B$2:$E$681, 4, false))</f>
        <v>13</v>
      </c>
      <c r="I57" s="47">
        <f t="shared" si="1"/>
        <v>6.5</v>
      </c>
      <c r="J57" s="47">
        <f t="shared" si="2"/>
        <v>12</v>
      </c>
    </row>
    <row r="58">
      <c r="A58" s="44" t="s">
        <v>94</v>
      </c>
      <c r="B58" s="45" t="s">
        <v>95</v>
      </c>
      <c r="C58" s="45" t="s">
        <v>7</v>
      </c>
      <c r="D58" s="45">
        <v>11.0</v>
      </c>
      <c r="E58" s="46">
        <f>if(ISNA(vlookup($A58, ESPN!$B$2:$E$281, 4, false)), 0, vlookup($A58, ESPN!$B$2:$E$281, 4, false))</f>
        <v>5</v>
      </c>
      <c r="F58" s="46">
        <f>if(ISNA(vlookup($A58, Scout.com!$B$2:$E$239, 4, false)), 0, vlookup($A58, Scout.com!$B$2:$E$239, 4, false))</f>
        <v>3</v>
      </c>
      <c r="G58" s="46">
        <f>if(ISNA(vlookup($A58, FantasyPro!$B$2:$E$318, 4, false)), 0, vlookup($A58, FantasyPro!$B$2:$E$318, 4, false))</f>
        <v>5</v>
      </c>
      <c r="H58" s="46">
        <f>if(ISNA(vlookup($A58, RotoWire!$B$2:$E$681, 4, false)), 0, vlookup($A58, RotoWire!$B$2:$E$681, 4, false))</f>
        <v>13</v>
      </c>
      <c r="I58" s="47">
        <f t="shared" si="1"/>
        <v>6.5</v>
      </c>
      <c r="J58" s="47">
        <f t="shared" si="2"/>
        <v>10</v>
      </c>
    </row>
    <row r="59">
      <c r="A59" s="44" t="s">
        <v>101</v>
      </c>
      <c r="B59" s="45" t="s">
        <v>23</v>
      </c>
      <c r="C59" s="45" t="s">
        <v>7</v>
      </c>
      <c r="D59" s="45">
        <v>8.0</v>
      </c>
      <c r="E59" s="46">
        <f>if(ISNA(vlookup($A59, ESPN!$B$2:$E$281, 4, false)), 0, vlookup($A59, ESPN!$B$2:$E$281, 4, false))</f>
        <v>4</v>
      </c>
      <c r="F59" s="46">
        <f>if(ISNA(vlookup($A59, Scout.com!$B$2:$E$239, 4, false)), 0, vlookup($A59, Scout.com!$B$2:$E$239, 4, false))</f>
        <v>4</v>
      </c>
      <c r="G59" s="46">
        <f>if(ISNA(vlookup($A59, FantasyPro!$B$2:$E$318, 4, false)), 0, vlookup($A59, FantasyPro!$B$2:$E$318, 4, false))</f>
        <v>6</v>
      </c>
      <c r="H59" s="46">
        <f>if(ISNA(vlookup($A59, RotoWire!$B$2:$E$681, 4, false)), 0, vlookup($A59, RotoWire!$B$2:$E$681, 4, false))</f>
        <v>12</v>
      </c>
      <c r="I59" s="47">
        <f t="shared" si="1"/>
        <v>6.5</v>
      </c>
      <c r="J59" s="47">
        <f t="shared" si="2"/>
        <v>8</v>
      </c>
    </row>
    <row r="60">
      <c r="A60" s="44" t="s">
        <v>127</v>
      </c>
      <c r="B60" s="45" t="s">
        <v>77</v>
      </c>
      <c r="C60" s="45" t="s">
        <v>7</v>
      </c>
      <c r="D60" s="45">
        <v>6.0</v>
      </c>
      <c r="E60" s="46">
        <f>if(ISNA(vlookup($A60, ESPN!$B$2:$E$281, 4, false)), 0, vlookup($A60, ESPN!$B$2:$E$281, 4, false))</f>
        <v>2</v>
      </c>
      <c r="F60" s="46">
        <f>if(ISNA(vlookup($A60, Scout.com!$B$2:$E$239, 4, false)), 0, vlookup($A60, Scout.com!$B$2:$E$239, 4, false))</f>
        <v>8</v>
      </c>
      <c r="G60" s="46">
        <f>if(ISNA(vlookup($A60, FantasyPro!$B$2:$E$318, 4, false)), 0, vlookup($A60, FantasyPro!$B$2:$E$318, 4, false))</f>
        <v>5</v>
      </c>
      <c r="H60" s="46">
        <f>if(ISNA(vlookup($A60, RotoWire!$B$2:$E$681, 4, false)), 0, vlookup($A60, RotoWire!$B$2:$E$681, 4, false))</f>
        <v>10</v>
      </c>
      <c r="I60" s="47">
        <f t="shared" si="1"/>
        <v>6.25</v>
      </c>
      <c r="J60" s="47">
        <f t="shared" si="2"/>
        <v>8</v>
      </c>
    </row>
    <row r="61">
      <c r="A61" s="44" t="s">
        <v>100</v>
      </c>
      <c r="B61" s="45" t="s">
        <v>15</v>
      </c>
      <c r="C61" s="45" t="s">
        <v>7</v>
      </c>
      <c r="D61" s="45">
        <v>11.0</v>
      </c>
      <c r="E61" s="46">
        <f>if(ISNA(vlookup($A61, ESPN!$B$2:$E$281, 4, false)), 0, vlookup($A61, ESPN!$B$2:$E$281, 4, false))</f>
        <v>5</v>
      </c>
      <c r="F61" s="46">
        <f>if(ISNA(vlookup($A61, Scout.com!$B$2:$E$239, 4, false)), 0, vlookup($A61, Scout.com!$B$2:$E$239, 4, false))</f>
        <v>9</v>
      </c>
      <c r="G61" s="46">
        <f>if(ISNA(vlookup($A61, FantasyPro!$B$2:$E$318, 4, false)), 0, vlookup($A61, FantasyPro!$B$2:$E$318, 4, false))</f>
        <v>3</v>
      </c>
      <c r="H61" s="46">
        <f>if(ISNA(vlookup($A61, RotoWire!$B$2:$E$681, 4, false)), 0, vlookup($A61, RotoWire!$B$2:$E$681, 4, false))</f>
        <v>8</v>
      </c>
      <c r="I61" s="47">
        <f t="shared" si="1"/>
        <v>6.25</v>
      </c>
      <c r="J61" s="47">
        <f t="shared" si="2"/>
        <v>6</v>
      </c>
    </row>
    <row r="62">
      <c r="A62" s="44" t="s">
        <v>168</v>
      </c>
      <c r="B62" s="45" t="s">
        <v>77</v>
      </c>
      <c r="C62" s="45" t="s">
        <v>97</v>
      </c>
      <c r="D62" s="45">
        <v>6.0</v>
      </c>
      <c r="E62" s="46">
        <f>if(ISNA(vlookup($A62, ESPN!$B$2:$E$281, 4, false)), 0, vlookup($A62, ESPN!$B$2:$E$281, 4, false))</f>
        <v>1</v>
      </c>
      <c r="F62" s="46">
        <f>if(ISNA(vlookup($A62, Scout.com!$B$2:$E$239, 4, false)), 0, vlookup($A62, Scout.com!$B$2:$E$239, 4, false))</f>
        <v>6</v>
      </c>
      <c r="G62" s="46">
        <f>if(ISNA(vlookup($A62, FantasyPro!$B$2:$E$318, 4, false)), 0, vlookup($A62, FantasyPro!$B$2:$E$318, 4, false))</f>
        <v>3</v>
      </c>
      <c r="H62" s="46">
        <f>if(ISNA(vlookup($A62, RotoWire!$B$2:$E$681, 4, false)), 0, vlookup($A62, RotoWire!$B$2:$E$681, 4, false))</f>
        <v>14</v>
      </c>
      <c r="I62" s="47">
        <f t="shared" si="1"/>
        <v>6</v>
      </c>
      <c r="J62" s="47">
        <f t="shared" si="2"/>
        <v>13</v>
      </c>
    </row>
    <row r="63">
      <c r="A63" s="44" t="s">
        <v>120</v>
      </c>
      <c r="B63" s="45" t="s">
        <v>83</v>
      </c>
      <c r="C63" s="45" t="s">
        <v>7</v>
      </c>
      <c r="D63" s="45">
        <v>8.0</v>
      </c>
      <c r="E63" s="46">
        <f>if(ISNA(vlookup($A63, ESPN!$B$2:$E$281, 4, false)), 0, vlookup($A63, ESPN!$B$2:$E$281, 4, false))</f>
        <v>2</v>
      </c>
      <c r="F63" s="46">
        <f>if(ISNA(vlookup($A63, Scout.com!$B$2:$E$239, 4, false)), 0, vlookup($A63, Scout.com!$B$2:$E$239, 4, false))</f>
        <v>4</v>
      </c>
      <c r="G63" s="46">
        <f>if(ISNA(vlookup($A63, FantasyPro!$B$2:$E$318, 4, false)), 0, vlookup($A63, FantasyPro!$B$2:$E$318, 4, false))</f>
        <v>5</v>
      </c>
      <c r="H63" s="46">
        <f>if(ISNA(vlookup($A63, RotoWire!$B$2:$E$681, 4, false)), 0, vlookup($A63, RotoWire!$B$2:$E$681, 4, false))</f>
        <v>12</v>
      </c>
      <c r="I63" s="47">
        <f t="shared" si="1"/>
        <v>5.75</v>
      </c>
      <c r="J63" s="47">
        <f t="shared" si="2"/>
        <v>10</v>
      </c>
    </row>
    <row r="64">
      <c r="A64" s="44" t="s">
        <v>111</v>
      </c>
      <c r="B64" s="45" t="s">
        <v>72</v>
      </c>
      <c r="C64" s="45" t="s">
        <v>17</v>
      </c>
      <c r="D64" s="45">
        <v>11.0</v>
      </c>
      <c r="E64" s="46">
        <f>if(ISNA(vlookup($A64, ESPN!$B$2:$E$281, 4, false)), 0, vlookup($A64, ESPN!$B$2:$E$281, 4, false))</f>
        <v>3</v>
      </c>
      <c r="F64" s="46">
        <f>if(ISNA(vlookup($A64, Scout.com!$B$2:$E$239, 4, false)), 0, vlookup($A64, Scout.com!$B$2:$E$239, 4, false))</f>
        <v>3</v>
      </c>
      <c r="G64" s="46">
        <f>if(ISNA(vlookup($A64, FantasyPro!$B$2:$E$318, 4, false)), 0, vlookup($A64, FantasyPro!$B$2:$E$318, 4, false))</f>
        <v>8</v>
      </c>
      <c r="H64" s="46">
        <f>if(ISNA(vlookup($A64, RotoWire!$B$2:$E$681, 4, false)), 0, vlookup($A64, RotoWire!$B$2:$E$681, 4, false))</f>
        <v>8</v>
      </c>
      <c r="I64" s="47">
        <f t="shared" si="1"/>
        <v>5.5</v>
      </c>
      <c r="J64" s="47">
        <f t="shared" si="2"/>
        <v>5</v>
      </c>
    </row>
    <row r="65">
      <c r="A65" s="44" t="s">
        <v>92</v>
      </c>
      <c r="B65" s="45" t="s">
        <v>9</v>
      </c>
      <c r="C65" s="45" t="s">
        <v>17</v>
      </c>
      <c r="D65" s="45">
        <v>12.0</v>
      </c>
      <c r="E65" s="46">
        <f>if(ISNA(vlookup($A65, ESPN!$B$2:$E$281, 4, false)), 0, vlookup($A65, ESPN!$B$2:$E$281, 4, false))</f>
        <v>6</v>
      </c>
      <c r="F65" s="46">
        <f>if(ISNA(vlookup($A65, Scout.com!$B$2:$E$239, 4, false)), 0, vlookup($A65, Scout.com!$B$2:$E$239, 4, false))</f>
        <v>3</v>
      </c>
      <c r="G65" s="46">
        <f>if(ISNA(vlookup($A65, FantasyPro!$B$2:$E$318, 4, false)), 0, vlookup($A65, FantasyPro!$B$2:$E$318, 4, false))</f>
        <v>7</v>
      </c>
      <c r="H65" s="46">
        <f>if(ISNA(vlookup($A65, RotoWire!$B$2:$E$681, 4, false)), 0, vlookup($A65, RotoWire!$B$2:$E$681, 4, false))</f>
        <v>6</v>
      </c>
      <c r="I65" s="47">
        <f t="shared" si="1"/>
        <v>5.5</v>
      </c>
      <c r="J65" s="47">
        <f t="shared" si="2"/>
        <v>4</v>
      </c>
    </row>
    <row r="66">
      <c r="A66" s="44" t="s">
        <v>421</v>
      </c>
      <c r="B66" s="45" t="s">
        <v>26</v>
      </c>
      <c r="C66" s="45" t="s">
        <v>97</v>
      </c>
      <c r="D66" s="45">
        <v>10.0</v>
      </c>
      <c r="E66" s="46">
        <f>if(ISNA(vlookup($A66, ESPN!$B$2:$E$281, 4, false)), 0, vlookup($A66, ESPN!$B$2:$E$281, 4, false))</f>
        <v>3</v>
      </c>
      <c r="F66" s="46">
        <f>if(ISNA(vlookup($A66, Scout.com!$B$2:$E$239, 4, false)), 0, vlookup($A66, Scout.com!$B$2:$E$239, 4, false))</f>
        <v>12</v>
      </c>
      <c r="G66" s="46">
        <f>if(ISNA(vlookup($A66, FantasyPro!$B$2:$E$318, 4, false)), 0, vlookup($A66, FantasyPro!$B$2:$E$318, 4, false))</f>
        <v>6</v>
      </c>
      <c r="H66" s="46">
        <f>if(ISNA(vlookup($A66, RotoWire!$B$2:$E$681, 4, false)), 0, vlookup($A66, RotoWire!$B$2:$E$681, 4, false))</f>
        <v>0</v>
      </c>
      <c r="I66" s="47">
        <f t="shared" si="1"/>
        <v>5.25</v>
      </c>
      <c r="J66" s="47">
        <f t="shared" si="2"/>
        <v>12</v>
      </c>
    </row>
    <row r="67">
      <c r="A67" s="44" t="s">
        <v>177</v>
      </c>
      <c r="B67" s="45" t="s">
        <v>34</v>
      </c>
      <c r="C67" s="45" t="s">
        <v>97</v>
      </c>
      <c r="D67" s="45">
        <v>8.0</v>
      </c>
      <c r="E67" s="46">
        <f>if(ISNA(vlookup($A67, ESPN!$B$2:$E$281, 4, false)), 0, vlookup($A67, ESPN!$B$2:$E$281, 4, false))</f>
        <v>1</v>
      </c>
      <c r="F67" s="46">
        <f>if(ISNA(vlookup($A67, Scout.com!$B$2:$E$239, 4, false)), 0, vlookup($A67, Scout.com!$B$2:$E$239, 4, false))</f>
        <v>4</v>
      </c>
      <c r="G67" s="46">
        <f>if(ISNA(vlookup($A67, FantasyPro!$B$2:$E$318, 4, false)), 0, vlookup($A67, FantasyPro!$B$2:$E$318, 4, false))</f>
        <v>2</v>
      </c>
      <c r="H67" s="46">
        <f>if(ISNA(vlookup($A67, RotoWire!$B$2:$E$681, 4, false)), 0, vlookup($A67, RotoWire!$B$2:$E$681, 4, false))</f>
        <v>14</v>
      </c>
      <c r="I67" s="47">
        <f t="shared" si="1"/>
        <v>5.25</v>
      </c>
      <c r="J67" s="47">
        <f t="shared" si="2"/>
        <v>13</v>
      </c>
    </row>
    <row r="68">
      <c r="A68" s="44" t="s">
        <v>103</v>
      </c>
      <c r="B68" s="45" t="s">
        <v>15</v>
      </c>
      <c r="C68" s="45" t="s">
        <v>17</v>
      </c>
      <c r="D68" s="45">
        <v>11.0</v>
      </c>
      <c r="E68" s="46">
        <f>if(ISNA(vlookup($A68, ESPN!$B$2:$E$281, 4, false)), 0, vlookup($A68, ESPN!$B$2:$E$281, 4, false))</f>
        <v>4</v>
      </c>
      <c r="F68" s="46">
        <f>if(ISNA(vlookup($A68, Scout.com!$B$2:$E$239, 4, false)), 0, vlookup($A68, Scout.com!$B$2:$E$239, 4, false))</f>
        <v>3</v>
      </c>
      <c r="G68" s="46">
        <f>if(ISNA(vlookup($A68, FantasyPro!$B$2:$E$318, 4, false)), 0, vlookup($A68, FantasyPro!$B$2:$E$318, 4, false))</f>
        <v>8</v>
      </c>
      <c r="H68" s="46">
        <f>if(ISNA(vlookup($A68, RotoWire!$B$2:$E$681, 4, false)), 0, vlookup($A68, RotoWire!$B$2:$E$681, 4, false))</f>
        <v>5</v>
      </c>
      <c r="I68" s="47">
        <f t="shared" si="1"/>
        <v>5</v>
      </c>
      <c r="J68" s="47">
        <f t="shared" si="2"/>
        <v>5</v>
      </c>
    </row>
    <row r="69">
      <c r="A69" s="44" t="s">
        <v>105</v>
      </c>
      <c r="B69" s="45" t="s">
        <v>83</v>
      </c>
      <c r="C69" s="45" t="s">
        <v>17</v>
      </c>
      <c r="D69" s="45">
        <v>8.0</v>
      </c>
      <c r="E69" s="46">
        <f>if(ISNA(vlookup($A69, ESPN!$B$2:$E$281, 4, false)), 0, vlookup($A69, ESPN!$B$2:$E$281, 4, false))</f>
        <v>4</v>
      </c>
      <c r="F69" s="46">
        <f>if(ISNA(vlookup($A69, Scout.com!$B$2:$E$239, 4, false)), 0, vlookup($A69, Scout.com!$B$2:$E$239, 4, false))</f>
        <v>6</v>
      </c>
      <c r="G69" s="46">
        <f>if(ISNA(vlookup($A69, FantasyPro!$B$2:$E$318, 4, false)), 0, vlookup($A69, FantasyPro!$B$2:$E$318, 4, false))</f>
        <v>5</v>
      </c>
      <c r="H69" s="46">
        <f>if(ISNA(vlookup($A69, RotoWire!$B$2:$E$681, 4, false)), 0, vlookup($A69, RotoWire!$B$2:$E$681, 4, false))</f>
        <v>5</v>
      </c>
      <c r="I69" s="47">
        <f t="shared" si="1"/>
        <v>5</v>
      </c>
      <c r="J69" s="47">
        <f t="shared" si="2"/>
        <v>2</v>
      </c>
    </row>
    <row r="70">
      <c r="A70" s="44" t="s">
        <v>179</v>
      </c>
      <c r="B70" s="45" t="s">
        <v>72</v>
      </c>
      <c r="C70" s="45" t="s">
        <v>97</v>
      </c>
      <c r="D70" s="45">
        <v>11.0</v>
      </c>
      <c r="E70" s="46">
        <f>if(ISNA(vlookup($A70, ESPN!$B$2:$E$281, 4, false)), 0, vlookup($A70, ESPN!$B$2:$E$281, 4, false))</f>
        <v>1</v>
      </c>
      <c r="F70" s="46">
        <f>if(ISNA(vlookup($A70, Scout.com!$B$2:$E$239, 4, false)), 0, vlookup($A70, Scout.com!$B$2:$E$239, 4, false))</f>
        <v>8</v>
      </c>
      <c r="G70" s="46">
        <f>if(ISNA(vlookup($A70, FantasyPro!$B$2:$E$318, 4, false)), 0, vlookup($A70, FantasyPro!$B$2:$E$318, 4, false))</f>
        <v>2</v>
      </c>
      <c r="H70" s="46">
        <f>if(ISNA(vlookup($A70, RotoWire!$B$2:$E$681, 4, false)), 0, vlookup($A70, RotoWire!$B$2:$E$681, 4, false))</f>
        <v>9</v>
      </c>
      <c r="I70" s="47">
        <f t="shared" si="1"/>
        <v>5</v>
      </c>
      <c r="J70" s="47">
        <f t="shared" si="2"/>
        <v>8</v>
      </c>
    </row>
    <row r="71">
      <c r="A71" s="44" t="s">
        <v>159</v>
      </c>
      <c r="B71" s="45" t="s">
        <v>6</v>
      </c>
      <c r="C71" s="45" t="s">
        <v>97</v>
      </c>
      <c r="D71" s="45">
        <v>7.0</v>
      </c>
      <c r="E71" s="46">
        <f>if(ISNA(vlookup($A71, ESPN!$B$2:$E$281, 4, false)), 0, vlookup($A71, ESPN!$B$2:$E$281, 4, false))</f>
        <v>1</v>
      </c>
      <c r="F71" s="46">
        <f>if(ISNA(vlookup($A71, Scout.com!$B$2:$E$239, 4, false)), 0, vlookup($A71, Scout.com!$B$2:$E$239, 4, false))</f>
        <v>4</v>
      </c>
      <c r="G71" s="46">
        <f>if(ISNA(vlookup($A71, FantasyPro!$B$2:$E$318, 4, false)), 0, vlookup($A71, FantasyPro!$B$2:$E$318, 4, false))</f>
        <v>3</v>
      </c>
      <c r="H71" s="46">
        <f>if(ISNA(vlookup($A71, RotoWire!$B$2:$E$681, 4, false)), 0, vlookup($A71, RotoWire!$B$2:$E$681, 4, false))</f>
        <v>11</v>
      </c>
      <c r="I71" s="47">
        <f t="shared" si="1"/>
        <v>4.75</v>
      </c>
      <c r="J71" s="47">
        <f t="shared" si="2"/>
        <v>10</v>
      </c>
    </row>
    <row r="72">
      <c r="A72" s="44" t="s">
        <v>124</v>
      </c>
      <c r="B72" s="45" t="s">
        <v>67</v>
      </c>
      <c r="C72" s="45" t="s">
        <v>7</v>
      </c>
      <c r="D72" s="45">
        <v>11.0</v>
      </c>
      <c r="E72" s="46">
        <f>if(ISNA(vlookup($A72, ESPN!$B$2:$E$281, 4, false)), 0, vlookup($A72, ESPN!$B$2:$E$281, 4, false))</f>
        <v>2</v>
      </c>
      <c r="F72" s="46">
        <f>if(ISNA(vlookup($A72, Scout.com!$B$2:$E$239, 4, false)), 0, vlookup($A72, Scout.com!$B$2:$E$239, 4, false))</f>
        <v>3</v>
      </c>
      <c r="G72" s="46">
        <f>if(ISNA(vlookup($A72, FantasyPro!$B$2:$E$318, 4, false)), 0, vlookup($A72, FantasyPro!$B$2:$E$318, 4, false))</f>
        <v>6</v>
      </c>
      <c r="H72" s="46">
        <f>if(ISNA(vlookup($A72, RotoWire!$B$2:$E$681, 4, false)), 0, vlookup($A72, RotoWire!$B$2:$E$681, 4, false))</f>
        <v>8</v>
      </c>
      <c r="I72" s="47">
        <f t="shared" si="1"/>
        <v>4.75</v>
      </c>
      <c r="J72" s="47">
        <f t="shared" si="2"/>
        <v>6</v>
      </c>
    </row>
    <row r="73">
      <c r="A73" s="44" t="s">
        <v>107</v>
      </c>
      <c r="B73" s="45" t="s">
        <v>60</v>
      </c>
      <c r="C73" s="45" t="s">
        <v>97</v>
      </c>
      <c r="D73" s="45">
        <v>9.0</v>
      </c>
      <c r="E73" s="46">
        <f>if(ISNA(vlookup($A73, ESPN!$B$2:$E$281, 4, false)), 0, vlookup($A73, ESPN!$B$2:$E$281, 4, false))</f>
        <v>4</v>
      </c>
      <c r="F73" s="46">
        <f>if(ISNA(vlookup($A73, Scout.com!$B$2:$E$239, 4, false)), 0, vlookup($A73, Scout.com!$B$2:$E$239, 4, false))</f>
        <v>12</v>
      </c>
      <c r="G73" s="46">
        <f>if(ISNA(vlookup($A73, FantasyPro!$B$2:$E$318, 4, false)), 0, vlookup($A73, FantasyPro!$B$2:$E$318, 4, false))</f>
        <v>3</v>
      </c>
      <c r="H73" s="46">
        <f>if(ISNA(vlookup($A73, RotoWire!$B$2:$E$681, 4, false)), 0, vlookup($A73, RotoWire!$B$2:$E$681, 4, false))</f>
        <v>0</v>
      </c>
      <c r="I73" s="47">
        <f t="shared" si="1"/>
        <v>4.75</v>
      </c>
      <c r="J73" s="47">
        <f t="shared" si="2"/>
        <v>12</v>
      </c>
    </row>
    <row r="74">
      <c r="A74" s="44" t="s">
        <v>135</v>
      </c>
      <c r="B74" s="45" t="s">
        <v>53</v>
      </c>
      <c r="C74" s="45" t="s">
        <v>7</v>
      </c>
      <c r="D74" s="45">
        <v>9.0</v>
      </c>
      <c r="E74" s="46">
        <f>if(ISNA(vlookup($A74, ESPN!$B$2:$E$281, 4, false)), 0, vlookup($A74, ESPN!$B$2:$E$281, 4, false))</f>
        <v>2</v>
      </c>
      <c r="F74" s="46">
        <f>if(ISNA(vlookup($A74, Scout.com!$B$2:$E$239, 4, false)), 0, vlookup($A74, Scout.com!$B$2:$E$239, 4, false))</f>
        <v>3</v>
      </c>
      <c r="G74" s="46">
        <f>if(ISNA(vlookup($A74, FantasyPro!$B$2:$E$318, 4, false)), 0, vlookup($A74, FantasyPro!$B$2:$E$318, 4, false))</f>
        <v>6</v>
      </c>
      <c r="H74" s="46">
        <f>if(ISNA(vlookup($A74, RotoWire!$B$2:$E$681, 4, false)), 0, vlookup($A74, RotoWire!$B$2:$E$681, 4, false))</f>
        <v>8</v>
      </c>
      <c r="I74" s="47">
        <f t="shared" si="1"/>
        <v>4.75</v>
      </c>
      <c r="J74" s="47">
        <f t="shared" si="2"/>
        <v>6</v>
      </c>
    </row>
    <row r="75">
      <c r="A75" s="44" t="s">
        <v>138</v>
      </c>
      <c r="B75" s="45" t="s">
        <v>67</v>
      </c>
      <c r="C75" s="45" t="s">
        <v>7</v>
      </c>
      <c r="D75" s="45">
        <v>11.0</v>
      </c>
      <c r="E75" s="46">
        <f>if(ISNA(vlookup($A75, ESPN!$B$2:$E$281, 4, false)), 0, vlookup($A75, ESPN!$B$2:$E$281, 4, false))</f>
        <v>1</v>
      </c>
      <c r="F75" s="46">
        <f>if(ISNA(vlookup($A75, Scout.com!$B$2:$E$239, 4, false)), 0, vlookup($A75, Scout.com!$B$2:$E$239, 4, false))</f>
        <v>9</v>
      </c>
      <c r="G75" s="46">
        <f>if(ISNA(vlookup($A75, FantasyPro!$B$2:$E$318, 4, false)), 0, vlookup($A75, FantasyPro!$B$2:$E$318, 4, false))</f>
        <v>1</v>
      </c>
      <c r="H75" s="46">
        <f>if(ISNA(vlookup($A75, RotoWire!$B$2:$E$681, 4, false)), 0, vlookup($A75, RotoWire!$B$2:$E$681, 4, false))</f>
        <v>8</v>
      </c>
      <c r="I75" s="47">
        <f t="shared" si="1"/>
        <v>4.75</v>
      </c>
      <c r="J75" s="47">
        <f t="shared" si="2"/>
        <v>8</v>
      </c>
    </row>
    <row r="76">
      <c r="A76" s="44" t="s">
        <v>106</v>
      </c>
      <c r="B76" s="45" t="s">
        <v>41</v>
      </c>
      <c r="C76" s="45" t="s">
        <v>97</v>
      </c>
      <c r="D76" s="45">
        <v>4.0</v>
      </c>
      <c r="E76" s="46">
        <f>if(ISNA(vlookup($A76, ESPN!$B$2:$E$281, 4, false)), 0, vlookup($A76, ESPN!$B$2:$E$281, 4, false))</f>
        <v>4</v>
      </c>
      <c r="F76" s="46">
        <f>if(ISNA(vlookup($A76, Scout.com!$B$2:$E$239, 4, false)), 0, vlookup($A76, Scout.com!$B$2:$E$239, 4, false))</f>
        <v>8</v>
      </c>
      <c r="G76" s="46">
        <f>if(ISNA(vlookup($A76, FantasyPro!$B$2:$E$318, 4, false)), 0, vlookup($A76, FantasyPro!$B$2:$E$318, 4, false))</f>
        <v>6</v>
      </c>
      <c r="H76" s="46">
        <f>if(ISNA(vlookup($A76, RotoWire!$B$2:$E$681, 4, false)), 0, vlookup($A76, RotoWire!$B$2:$E$681, 4, false))</f>
        <v>0</v>
      </c>
      <c r="I76" s="47">
        <f t="shared" si="1"/>
        <v>4.5</v>
      </c>
      <c r="J76" s="47">
        <f t="shared" si="2"/>
        <v>8</v>
      </c>
    </row>
    <row r="77">
      <c r="A77" s="44" t="s">
        <v>390</v>
      </c>
      <c r="B77" s="45" t="s">
        <v>41</v>
      </c>
      <c r="C77" s="45" t="s">
        <v>7</v>
      </c>
      <c r="D77" s="45">
        <v>4.0</v>
      </c>
      <c r="E77" s="46">
        <f>if(ISNA(vlookup($A77, ESPN!$B$2:$E$281, 4, false)), 0, vlookup($A77, ESPN!$B$2:$E$281, 4, false))</f>
        <v>0</v>
      </c>
      <c r="F77" s="46">
        <f>if(ISNA(vlookup($A77, Scout.com!$B$2:$E$239, 4, false)), 0, vlookup($A77, Scout.com!$B$2:$E$239, 4, false))</f>
        <v>0</v>
      </c>
      <c r="G77" s="46">
        <f>if(ISNA(vlookup($A77, FantasyPro!$B$2:$E$318, 4, false)), 0, vlookup($A77, FantasyPro!$B$2:$E$318, 4, false))</f>
        <v>0</v>
      </c>
      <c r="H77" s="46">
        <f>if(ISNA(vlookup($A77, RotoWire!$B$2:$E$681, 4, false)), 0, vlookup($A77, RotoWire!$B$2:$E$681, 4, false))</f>
        <v>18</v>
      </c>
      <c r="I77" s="47">
        <f t="shared" si="1"/>
        <v>4.5</v>
      </c>
      <c r="J77" s="47">
        <f t="shared" si="2"/>
        <v>18</v>
      </c>
    </row>
    <row r="78">
      <c r="A78" s="44" t="s">
        <v>93</v>
      </c>
      <c r="B78" s="45" t="s">
        <v>41</v>
      </c>
      <c r="C78" s="45" t="s">
        <v>17</v>
      </c>
      <c r="D78" s="45">
        <v>4.0</v>
      </c>
      <c r="E78" s="46">
        <f>if(ISNA(vlookup($A78, ESPN!$B$2:$E$281, 4, false)), 0, vlookup($A78, ESPN!$B$2:$E$281, 4, false))</f>
        <v>5</v>
      </c>
      <c r="F78" s="46">
        <f>if(ISNA(vlookup($A78, Scout.com!$B$2:$E$239, 4, false)), 0, vlookup($A78, Scout.com!$B$2:$E$239, 4, false))</f>
        <v>3</v>
      </c>
      <c r="G78" s="46">
        <f>if(ISNA(vlookup($A78, FantasyPro!$B$2:$E$318, 4, false)), 0, vlookup($A78, FantasyPro!$B$2:$E$318, 4, false))</f>
        <v>7</v>
      </c>
      <c r="H78" s="46">
        <f>if(ISNA(vlookup($A78, RotoWire!$B$2:$E$681, 4, false)), 0, vlookup($A78, RotoWire!$B$2:$E$681, 4, false))</f>
        <v>3</v>
      </c>
      <c r="I78" s="47">
        <f t="shared" si="1"/>
        <v>4.5</v>
      </c>
      <c r="J78" s="47">
        <f t="shared" si="2"/>
        <v>4</v>
      </c>
    </row>
    <row r="79">
      <c r="A79" s="44" t="s">
        <v>104</v>
      </c>
      <c r="B79" s="45" t="s">
        <v>28</v>
      </c>
      <c r="C79" s="45" t="s">
        <v>17</v>
      </c>
      <c r="D79" s="45">
        <v>12.0</v>
      </c>
      <c r="E79" s="46">
        <f>if(ISNA(vlookup($A79, ESPN!$B$2:$E$281, 4, false)), 0, vlookup($A79, ESPN!$B$2:$E$281, 4, false))</f>
        <v>4</v>
      </c>
      <c r="F79" s="46">
        <f>if(ISNA(vlookup($A79, Scout.com!$B$2:$E$239, 4, false)), 0, vlookup($A79, Scout.com!$B$2:$E$239, 4, false))</f>
        <v>5</v>
      </c>
      <c r="G79" s="46">
        <f>if(ISNA(vlookup($A79, FantasyPro!$B$2:$E$318, 4, false)), 0, vlookup($A79, FantasyPro!$B$2:$E$318, 4, false))</f>
        <v>6</v>
      </c>
      <c r="H79" s="46">
        <f>if(ISNA(vlookup($A79, RotoWire!$B$2:$E$681, 4, false)), 0, vlookup($A79, RotoWire!$B$2:$E$681, 4, false))</f>
        <v>3</v>
      </c>
      <c r="I79" s="47">
        <f t="shared" si="1"/>
        <v>4.5</v>
      </c>
      <c r="J79" s="47">
        <f t="shared" si="2"/>
        <v>3</v>
      </c>
    </row>
    <row r="80">
      <c r="A80" s="44" t="s">
        <v>139</v>
      </c>
      <c r="B80" s="45" t="s">
        <v>51</v>
      </c>
      <c r="C80" s="45" t="s">
        <v>7</v>
      </c>
      <c r="D80" s="45">
        <v>5.0</v>
      </c>
      <c r="E80" s="46">
        <f>if(ISNA(vlookup($A80, ESPN!$B$2:$E$281, 4, false)), 0, vlookup($A80, ESPN!$B$2:$E$281, 4, false))</f>
        <v>1</v>
      </c>
      <c r="F80" s="46">
        <f>if(ISNA(vlookup($A80, Scout.com!$B$2:$E$239, 4, false)), 0, vlookup($A80, Scout.com!$B$2:$E$239, 4, false))</f>
        <v>4</v>
      </c>
      <c r="G80" s="46">
        <f>if(ISNA(vlookup($A80, FantasyPro!$B$2:$E$318, 4, false)), 0, vlookup($A80, FantasyPro!$B$2:$E$318, 4, false))</f>
        <v>3</v>
      </c>
      <c r="H80" s="46">
        <f>if(ISNA(vlookup($A80, RotoWire!$B$2:$E$681, 4, false)), 0, vlookup($A80, RotoWire!$B$2:$E$681, 4, false))</f>
        <v>10</v>
      </c>
      <c r="I80" s="47">
        <f t="shared" si="1"/>
        <v>4.5</v>
      </c>
      <c r="J80" s="47">
        <f t="shared" si="2"/>
        <v>9</v>
      </c>
    </row>
    <row r="81">
      <c r="A81" s="44" t="s">
        <v>112</v>
      </c>
      <c r="B81" s="45" t="s">
        <v>9</v>
      </c>
      <c r="C81" s="45" t="s">
        <v>17</v>
      </c>
      <c r="D81" s="45">
        <v>12.0</v>
      </c>
      <c r="E81" s="46">
        <f>if(ISNA(vlookup($A81, ESPN!$B$2:$E$281, 4, false)), 0, vlookup($A81, ESPN!$B$2:$E$281, 4, false))</f>
        <v>3</v>
      </c>
      <c r="F81" s="46">
        <f>if(ISNA(vlookup($A81, Scout.com!$B$2:$E$239, 4, false)), 0, vlookup($A81, Scout.com!$B$2:$E$239, 4, false))</f>
        <v>4</v>
      </c>
      <c r="G81" s="46">
        <f>if(ISNA(vlookup($A81, FantasyPro!$B$2:$E$318, 4, false)), 0, vlookup($A81, FantasyPro!$B$2:$E$318, 4, false))</f>
        <v>6</v>
      </c>
      <c r="H81" s="46">
        <f>if(ISNA(vlookup($A81, RotoWire!$B$2:$E$681, 4, false)), 0, vlookup($A81, RotoWire!$B$2:$E$681, 4, false))</f>
        <v>4</v>
      </c>
      <c r="I81" s="47">
        <f t="shared" si="1"/>
        <v>4.25</v>
      </c>
      <c r="J81" s="47">
        <f t="shared" si="2"/>
        <v>3</v>
      </c>
    </row>
    <row r="82">
      <c r="A82" s="44" t="s">
        <v>102</v>
      </c>
      <c r="B82" s="45" t="s">
        <v>63</v>
      </c>
      <c r="C82" s="45" t="s">
        <v>17</v>
      </c>
      <c r="D82" s="45">
        <v>10.0</v>
      </c>
      <c r="E82" s="46">
        <f>if(ISNA(vlookup($A82, ESPN!$B$2:$E$281, 4, false)), 0, vlookup($A82, ESPN!$B$2:$E$281, 4, false))</f>
        <v>4</v>
      </c>
      <c r="F82" s="46">
        <f>if(ISNA(vlookup($A82, Scout.com!$B$2:$E$239, 4, false)), 0, vlookup($A82, Scout.com!$B$2:$E$239, 4, false))</f>
        <v>3</v>
      </c>
      <c r="G82" s="46">
        <f>if(ISNA(vlookup($A82, FantasyPro!$B$2:$E$318, 4, false)), 0, vlookup($A82, FantasyPro!$B$2:$E$318, 4, false))</f>
        <v>5</v>
      </c>
      <c r="H82" s="46">
        <f>if(ISNA(vlookup($A82, RotoWire!$B$2:$E$681, 4, false)), 0, vlookup($A82, RotoWire!$B$2:$E$681, 4, false))</f>
        <v>5</v>
      </c>
      <c r="I82" s="47">
        <f t="shared" si="1"/>
        <v>4.25</v>
      </c>
      <c r="J82" s="47">
        <f t="shared" si="2"/>
        <v>2</v>
      </c>
    </row>
    <row r="83">
      <c r="A83" s="44" t="s">
        <v>206</v>
      </c>
      <c r="B83" s="45" t="s">
        <v>9</v>
      </c>
      <c r="C83" s="45" t="s">
        <v>97</v>
      </c>
      <c r="D83" s="45">
        <v>12.0</v>
      </c>
      <c r="E83" s="46">
        <f>if(ISNA(vlookup($A83, ESPN!$B$2:$E$281, 4, false)), 0, vlookup($A83, ESPN!$B$2:$E$281, 4, false))</f>
        <v>0</v>
      </c>
      <c r="F83" s="46">
        <f>if(ISNA(vlookup($A83, Scout.com!$B$2:$E$239, 4, false)), 0, vlookup($A83, Scout.com!$B$2:$E$239, 4, false))</f>
        <v>7</v>
      </c>
      <c r="G83" s="46">
        <f>if(ISNA(vlookup($A83, FantasyPro!$B$2:$E$318, 4, false)), 0, vlookup($A83, FantasyPro!$B$2:$E$318, 4, false))</f>
        <v>2</v>
      </c>
      <c r="H83" s="46">
        <f>if(ISNA(vlookup($A83, RotoWire!$B$2:$E$681, 4, false)), 0, vlookup($A83, RotoWire!$B$2:$E$681, 4, false))</f>
        <v>8</v>
      </c>
      <c r="I83" s="47">
        <f t="shared" si="1"/>
        <v>4.25</v>
      </c>
      <c r="J83" s="47">
        <f t="shared" si="2"/>
        <v>8</v>
      </c>
    </row>
    <row r="84">
      <c r="A84" s="44" t="s">
        <v>160</v>
      </c>
      <c r="B84" s="45" t="s">
        <v>32</v>
      </c>
      <c r="C84" s="45" t="s">
        <v>97</v>
      </c>
      <c r="D84" s="45">
        <v>10.0</v>
      </c>
      <c r="E84" s="46">
        <f>if(ISNA(vlookup($A84, ESPN!$B$2:$E$281, 4, false)), 0, vlookup($A84, ESPN!$B$2:$E$281, 4, false))</f>
        <v>1</v>
      </c>
      <c r="F84" s="46">
        <f>if(ISNA(vlookup($A84, Scout.com!$B$2:$E$239, 4, false)), 0, vlookup($A84, Scout.com!$B$2:$E$239, 4, false))</f>
        <v>7</v>
      </c>
      <c r="G84" s="46">
        <f>if(ISNA(vlookup($A84, FantasyPro!$B$2:$E$318, 4, false)), 0, vlookup($A84, FantasyPro!$B$2:$E$318, 4, false))</f>
        <v>3</v>
      </c>
      <c r="H84" s="46">
        <f>if(ISNA(vlookup($A84, RotoWire!$B$2:$E$681, 4, false)), 0, vlookup($A84, RotoWire!$B$2:$E$681, 4, false))</f>
        <v>6</v>
      </c>
      <c r="I84" s="47">
        <f t="shared" si="1"/>
        <v>4.25</v>
      </c>
      <c r="J84" s="47">
        <f t="shared" si="2"/>
        <v>6</v>
      </c>
    </row>
    <row r="85">
      <c r="A85" s="44" t="s">
        <v>130</v>
      </c>
      <c r="B85" s="45" t="s">
        <v>95</v>
      </c>
      <c r="C85" s="45" t="s">
        <v>17</v>
      </c>
      <c r="D85" s="45">
        <v>11.0</v>
      </c>
      <c r="E85" s="46">
        <f>if(ISNA(vlookup($A85, ESPN!$B$2:$E$281, 4, false)), 0, vlookup($A85, ESPN!$B$2:$E$281, 4, false))</f>
        <v>2</v>
      </c>
      <c r="F85" s="46">
        <f>if(ISNA(vlookup($A85, Scout.com!$B$2:$E$239, 4, false)), 0, vlookup($A85, Scout.com!$B$2:$E$239, 4, false))</f>
        <v>3</v>
      </c>
      <c r="G85" s="46">
        <f>if(ISNA(vlookup($A85, FantasyPro!$B$2:$E$318, 4, false)), 0, vlookup($A85, FantasyPro!$B$2:$E$318, 4, false))</f>
        <v>6</v>
      </c>
      <c r="H85" s="46">
        <f>if(ISNA(vlookup($A85, RotoWire!$B$2:$E$681, 4, false)), 0, vlookup($A85, RotoWire!$B$2:$E$681, 4, false))</f>
        <v>6</v>
      </c>
      <c r="I85" s="47">
        <f t="shared" si="1"/>
        <v>4.25</v>
      </c>
      <c r="J85" s="47">
        <f t="shared" si="2"/>
        <v>4</v>
      </c>
    </row>
    <row r="86">
      <c r="A86" s="44" t="s">
        <v>117</v>
      </c>
      <c r="B86" s="45" t="s">
        <v>41</v>
      </c>
      <c r="C86" s="45" t="s">
        <v>43</v>
      </c>
      <c r="D86" s="45">
        <v>4.0</v>
      </c>
      <c r="E86" s="46">
        <f>if(ISNA(vlookup($A86, ESPN!$B$2:$E$281, 4, false)), 0, vlookup($A86, ESPN!$B$2:$E$281, 4, false))</f>
        <v>3</v>
      </c>
      <c r="F86" s="46">
        <f>if(ISNA(vlookup($A86, Scout.com!$B$2:$E$239, 4, false)), 0, vlookup($A86, Scout.com!$B$2:$E$239, 4, false))</f>
        <v>4</v>
      </c>
      <c r="G86" s="46">
        <f>if(ISNA(vlookup($A86, FantasyPro!$B$2:$E$318, 4, false)), 0, vlookup($A86, FantasyPro!$B$2:$E$318, 4, false))</f>
        <v>6</v>
      </c>
      <c r="H86" s="46">
        <f>if(ISNA(vlookup($A86, RotoWire!$B$2:$E$681, 4, false)), 0, vlookup($A86, RotoWire!$B$2:$E$681, 4, false))</f>
        <v>3</v>
      </c>
      <c r="I86" s="47">
        <f t="shared" si="1"/>
        <v>4</v>
      </c>
      <c r="J86" s="47">
        <f t="shared" si="2"/>
        <v>3</v>
      </c>
    </row>
    <row r="87">
      <c r="A87" s="44" t="s">
        <v>126</v>
      </c>
      <c r="B87" s="45" t="s">
        <v>47</v>
      </c>
      <c r="C87" s="45" t="s">
        <v>7</v>
      </c>
      <c r="D87" s="45">
        <v>7.0</v>
      </c>
      <c r="E87" s="46">
        <f>if(ISNA(vlookup($A87, ESPN!$B$2:$E$281, 4, false)), 0, vlookup($A87, ESPN!$B$2:$E$281, 4, false))</f>
        <v>2</v>
      </c>
      <c r="F87" s="46">
        <f>if(ISNA(vlookup($A87, Scout.com!$B$2:$E$239, 4, false)), 0, vlookup($A87, Scout.com!$B$2:$E$239, 4, false))</f>
        <v>0</v>
      </c>
      <c r="G87" s="46">
        <f>if(ISNA(vlookup($A87, FantasyPro!$B$2:$E$318, 4, false)), 0, vlookup($A87, FantasyPro!$B$2:$E$318, 4, false))</f>
        <v>5</v>
      </c>
      <c r="H87" s="46">
        <f>if(ISNA(vlookup($A87, RotoWire!$B$2:$E$681, 4, false)), 0, vlookup($A87, RotoWire!$B$2:$E$681, 4, false))</f>
        <v>9</v>
      </c>
      <c r="I87" s="47">
        <f t="shared" si="1"/>
        <v>4</v>
      </c>
      <c r="J87" s="47">
        <f t="shared" si="2"/>
        <v>9</v>
      </c>
    </row>
    <row r="88">
      <c r="A88" s="44" t="s">
        <v>113</v>
      </c>
      <c r="B88" s="45" t="s">
        <v>88</v>
      </c>
      <c r="C88" s="45" t="s">
        <v>17</v>
      </c>
      <c r="D88" s="45">
        <v>10.0</v>
      </c>
      <c r="E88" s="46">
        <f>if(ISNA(vlookup($A88, ESPN!$B$2:$E$281, 4, false)), 0, vlookup($A88, ESPN!$B$2:$E$281, 4, false))</f>
        <v>3</v>
      </c>
      <c r="F88" s="46">
        <f>if(ISNA(vlookup($A88, Scout.com!$B$2:$E$239, 4, false)), 0, vlookup($A88, Scout.com!$B$2:$E$239, 4, false))</f>
        <v>3</v>
      </c>
      <c r="G88" s="46">
        <f>if(ISNA(vlookup($A88, FantasyPro!$B$2:$E$318, 4, false)), 0, vlookup($A88, FantasyPro!$B$2:$E$318, 4, false))</f>
        <v>7</v>
      </c>
      <c r="H88" s="46">
        <f>if(ISNA(vlookup($A88, RotoWire!$B$2:$E$681, 4, false)), 0, vlookup($A88, RotoWire!$B$2:$E$681, 4, false))</f>
        <v>3</v>
      </c>
      <c r="I88" s="47">
        <f t="shared" si="1"/>
        <v>4</v>
      </c>
      <c r="J88" s="47">
        <f t="shared" si="2"/>
        <v>4</v>
      </c>
    </row>
    <row r="89">
      <c r="A89" s="44" t="s">
        <v>114</v>
      </c>
      <c r="B89" s="45" t="s">
        <v>72</v>
      </c>
      <c r="C89" s="45" t="s">
        <v>17</v>
      </c>
      <c r="D89" s="45">
        <v>11.0</v>
      </c>
      <c r="E89" s="46">
        <f>if(ISNA(vlookup($A89, ESPN!$B$2:$E$281, 4, false)), 0, vlookup($A89, ESPN!$B$2:$E$281, 4, false))</f>
        <v>3</v>
      </c>
      <c r="F89" s="46">
        <f>if(ISNA(vlookup($A89, Scout.com!$B$2:$E$239, 4, false)), 0, vlookup($A89, Scout.com!$B$2:$E$239, 4, false))</f>
        <v>3</v>
      </c>
      <c r="G89" s="46">
        <f>if(ISNA(vlookup($A89, FantasyPro!$B$2:$E$318, 4, false)), 0, vlookup($A89, FantasyPro!$B$2:$E$318, 4, false))</f>
        <v>5</v>
      </c>
      <c r="H89" s="46">
        <f>if(ISNA(vlookup($A89, RotoWire!$B$2:$E$681, 4, false)), 0, vlookup($A89, RotoWire!$B$2:$E$681, 4, false))</f>
        <v>4</v>
      </c>
      <c r="I89" s="47">
        <f t="shared" si="1"/>
        <v>3.75</v>
      </c>
      <c r="J89" s="47">
        <f t="shared" si="2"/>
        <v>2</v>
      </c>
    </row>
    <row r="90">
      <c r="A90" s="44" t="s">
        <v>14</v>
      </c>
      <c r="B90" s="45" t="s">
        <v>15</v>
      </c>
      <c r="C90" s="45" t="s">
        <v>7</v>
      </c>
      <c r="D90" s="45">
        <v>11.0</v>
      </c>
      <c r="E90" s="46">
        <f>if(ISNA(vlookup($A90, ESPN!$B$2:$E$281, 4, false)), 0, vlookup($A90, ESPN!$B$2:$E$281, 4, false))</f>
        <v>5</v>
      </c>
      <c r="F90" s="46">
        <f>if(ISNA(vlookup($A90, Scout.com!$B$2:$E$239, 4, false)), 0, vlookup($A90, Scout.com!$B$2:$E$239, 4, false))</f>
        <v>0</v>
      </c>
      <c r="G90" s="46">
        <f>if(ISNA(vlookup($A90, FantasyPro!$B$2:$E$318, 4, false)), 0, vlookup($A90, FantasyPro!$B$2:$E$318, 4, false))</f>
        <v>7</v>
      </c>
      <c r="H90" s="46">
        <f>if(ISNA(vlookup($A90, RotoWire!$B$2:$E$681, 4, false)), 0, vlookup($A90, RotoWire!$B$2:$E$681, 4, false))</f>
        <v>3</v>
      </c>
      <c r="I90" s="47">
        <f t="shared" si="1"/>
        <v>3.75</v>
      </c>
      <c r="J90" s="47">
        <f t="shared" si="2"/>
        <v>7</v>
      </c>
    </row>
    <row r="91">
      <c r="A91" s="44" t="s">
        <v>86</v>
      </c>
      <c r="B91" s="45" t="s">
        <v>49</v>
      </c>
      <c r="C91" s="45" t="s">
        <v>7</v>
      </c>
      <c r="D91" s="45">
        <v>5.0</v>
      </c>
      <c r="E91" s="46">
        <f>if(ISNA(vlookup($A91, ESPN!$B$2:$E$281, 4, false)), 0, vlookup($A91, ESPN!$B$2:$E$281, 4, false))</f>
        <v>7</v>
      </c>
      <c r="F91" s="46">
        <f>if(ISNA(vlookup($A91, Scout.com!$B$2:$E$239, 4, false)), 0, vlookup($A91, Scout.com!$B$2:$E$239, 4, false))</f>
        <v>0</v>
      </c>
      <c r="G91" s="46">
        <f>if(ISNA(vlookup($A91, FantasyPro!$B$2:$E$318, 4, false)), 0, vlookup($A91, FantasyPro!$B$2:$E$318, 4, false))</f>
        <v>4</v>
      </c>
      <c r="H91" s="46">
        <f>if(ISNA(vlookup($A91, RotoWire!$B$2:$E$681, 4, false)), 0, vlookup($A91, RotoWire!$B$2:$E$681, 4, false))</f>
        <v>4</v>
      </c>
      <c r="I91" s="47">
        <f t="shared" si="1"/>
        <v>3.75</v>
      </c>
      <c r="J91" s="47">
        <f t="shared" si="2"/>
        <v>7</v>
      </c>
    </row>
    <row r="92">
      <c r="A92" s="44" t="s">
        <v>149</v>
      </c>
      <c r="B92" s="45" t="s">
        <v>41</v>
      </c>
      <c r="C92" s="45" t="s">
        <v>7</v>
      </c>
      <c r="D92" s="45">
        <v>4.0</v>
      </c>
      <c r="E92" s="46">
        <f>if(ISNA(vlookup($A92, ESPN!$B$2:$E$281, 4, false)), 0, vlookup($A92, ESPN!$B$2:$E$281, 4, false))</f>
        <v>1</v>
      </c>
      <c r="F92" s="46">
        <f>if(ISNA(vlookup($A92, Scout.com!$B$2:$E$239, 4, false)), 0, vlookup($A92, Scout.com!$B$2:$E$239, 4, false))</f>
        <v>3</v>
      </c>
      <c r="G92" s="46">
        <f>if(ISNA(vlookup($A92, FantasyPro!$B$2:$E$318, 4, false)), 0, vlookup($A92, FantasyPro!$B$2:$E$318, 4, false))</f>
        <v>3</v>
      </c>
      <c r="H92" s="46">
        <f>if(ISNA(vlookup($A92, RotoWire!$B$2:$E$681, 4, false)), 0, vlookup($A92, RotoWire!$B$2:$E$681, 4, false))</f>
        <v>7</v>
      </c>
      <c r="I92" s="47">
        <f t="shared" si="1"/>
        <v>3.5</v>
      </c>
      <c r="J92" s="47">
        <f t="shared" si="2"/>
        <v>6</v>
      </c>
    </row>
    <row r="93">
      <c r="A93" s="44" t="s">
        <v>137</v>
      </c>
      <c r="B93" s="45" t="s">
        <v>123</v>
      </c>
      <c r="C93" s="45" t="s">
        <v>7</v>
      </c>
      <c r="D93" s="45">
        <v>4.0</v>
      </c>
      <c r="E93" s="46">
        <f>if(ISNA(vlookup($A93, ESPN!$B$2:$E$281, 4, false)), 0, vlookup($A93, ESPN!$B$2:$E$281, 4, false))</f>
        <v>1</v>
      </c>
      <c r="F93" s="46">
        <f>if(ISNA(vlookup($A93, Scout.com!$B$2:$E$239, 4, false)), 0, vlookup($A93, Scout.com!$B$2:$E$239, 4, false))</f>
        <v>3</v>
      </c>
      <c r="G93" s="46">
        <f>if(ISNA(vlookup($A93, FantasyPro!$B$2:$E$318, 4, false)), 0, vlookup($A93, FantasyPro!$B$2:$E$318, 4, false))</f>
        <v>4</v>
      </c>
      <c r="H93" s="46">
        <f>if(ISNA(vlookup($A93, RotoWire!$B$2:$E$681, 4, false)), 0, vlookup($A93, RotoWire!$B$2:$E$681, 4, false))</f>
        <v>6</v>
      </c>
      <c r="I93" s="47">
        <f t="shared" si="1"/>
        <v>3.5</v>
      </c>
      <c r="J93" s="47">
        <f t="shared" si="2"/>
        <v>5</v>
      </c>
    </row>
    <row r="94">
      <c r="A94" s="44" t="s">
        <v>324</v>
      </c>
      <c r="B94" s="45" t="s">
        <v>123</v>
      </c>
      <c r="C94" s="45" t="s">
        <v>7</v>
      </c>
      <c r="D94" s="45">
        <v>4.0</v>
      </c>
      <c r="E94" s="46">
        <f>if(ISNA(vlookup($A94, ESPN!$B$2:$E$281, 4, false)), 0, vlookup($A94, ESPN!$B$2:$E$281, 4, false))</f>
        <v>0</v>
      </c>
      <c r="F94" s="46">
        <f>if(ISNA(vlookup($A94, Scout.com!$B$2:$E$239, 4, false)), 0, vlookup($A94, Scout.com!$B$2:$E$239, 4, false))</f>
        <v>14</v>
      </c>
      <c r="G94" s="46">
        <f>if(ISNA(vlookup($A94, FantasyPro!$B$2:$E$318, 4, false)), 0, vlookup($A94, FantasyPro!$B$2:$E$318, 4, false))</f>
        <v>0</v>
      </c>
      <c r="H94" s="46">
        <f>if(ISNA(vlookup($A94, RotoWire!$B$2:$E$681, 4, false)), 0, vlookup($A94, RotoWire!$B$2:$E$681, 4, false))</f>
        <v>0</v>
      </c>
      <c r="I94" s="47">
        <f t="shared" si="1"/>
        <v>3.5</v>
      </c>
      <c r="J94" s="47">
        <f t="shared" si="2"/>
        <v>14</v>
      </c>
    </row>
    <row r="95">
      <c r="A95" s="44" t="s">
        <v>136</v>
      </c>
      <c r="B95" s="45" t="s">
        <v>67</v>
      </c>
      <c r="C95" s="45" t="s">
        <v>7</v>
      </c>
      <c r="D95" s="45">
        <v>11.0</v>
      </c>
      <c r="E95" s="46">
        <f>if(ISNA(vlookup($A95, ESPN!$B$2:$E$281, 4, false)), 0, vlookup($A95, ESPN!$B$2:$E$281, 4, false))</f>
        <v>2</v>
      </c>
      <c r="F95" s="46">
        <f>if(ISNA(vlookup($A95, Scout.com!$B$2:$E$239, 4, false)), 0, vlookup($A95, Scout.com!$B$2:$E$239, 4, false))</f>
        <v>3</v>
      </c>
      <c r="G95" s="46">
        <f>if(ISNA(vlookup($A95, FantasyPro!$B$2:$E$318, 4, false)), 0, vlookup($A95, FantasyPro!$B$2:$E$318, 4, false))</f>
        <v>3</v>
      </c>
      <c r="H95" s="46">
        <f>if(ISNA(vlookup($A95, RotoWire!$B$2:$E$681, 4, false)), 0, vlookup($A95, RotoWire!$B$2:$E$681, 4, false))</f>
        <v>6</v>
      </c>
      <c r="I95" s="47">
        <f t="shared" si="1"/>
        <v>3.5</v>
      </c>
      <c r="J95" s="47">
        <f t="shared" si="2"/>
        <v>4</v>
      </c>
    </row>
    <row r="96">
      <c r="A96" s="44" t="s">
        <v>119</v>
      </c>
      <c r="B96" s="45" t="s">
        <v>19</v>
      </c>
      <c r="C96" s="45" t="s">
        <v>43</v>
      </c>
      <c r="D96" s="45">
        <v>9.0</v>
      </c>
      <c r="E96" s="46">
        <f>if(ISNA(vlookup($A96, ESPN!$B$2:$E$281, 4, false)), 0, vlookup($A96, ESPN!$B$2:$E$281, 4, false))</f>
        <v>2</v>
      </c>
      <c r="F96" s="46">
        <f>if(ISNA(vlookup($A96, Scout.com!$B$2:$E$239, 4, false)), 0, vlookup($A96, Scout.com!$B$2:$E$239, 4, false))</f>
        <v>6</v>
      </c>
      <c r="G96" s="46">
        <f>if(ISNA(vlookup($A96, FantasyPro!$B$2:$E$318, 4, false)), 0, vlookup($A96, FantasyPro!$B$2:$E$318, 4, false))</f>
        <v>6</v>
      </c>
      <c r="H96" s="46">
        <f>if(ISNA(vlookup($A96, RotoWire!$B$2:$E$681, 4, false)), 0, vlookup($A96, RotoWire!$B$2:$E$681, 4, false))</f>
        <v>0</v>
      </c>
      <c r="I96" s="47">
        <f t="shared" si="1"/>
        <v>3.5</v>
      </c>
      <c r="J96" s="47">
        <f t="shared" si="2"/>
        <v>6</v>
      </c>
    </row>
    <row r="97">
      <c r="A97" s="44" t="s">
        <v>143</v>
      </c>
      <c r="B97" s="45" t="s">
        <v>123</v>
      </c>
      <c r="C97" s="45" t="s">
        <v>17</v>
      </c>
      <c r="D97" s="45">
        <v>4.0</v>
      </c>
      <c r="E97" s="46">
        <f>if(ISNA(vlookup($A97, ESPN!$B$2:$E$281, 4, false)), 0, vlookup($A97, ESPN!$B$2:$E$281, 4, false))</f>
        <v>1</v>
      </c>
      <c r="F97" s="46">
        <f>if(ISNA(vlookup($A97, Scout.com!$B$2:$E$239, 4, false)), 0, vlookup($A97, Scout.com!$B$2:$E$239, 4, false))</f>
        <v>3</v>
      </c>
      <c r="G97" s="46">
        <f>if(ISNA(vlookup($A97, FantasyPro!$B$2:$E$318, 4, false)), 0, vlookup($A97, FantasyPro!$B$2:$E$318, 4, false))</f>
        <v>5</v>
      </c>
      <c r="H97" s="46">
        <f>if(ISNA(vlookup($A97, RotoWire!$B$2:$E$681, 4, false)), 0, vlookup($A97, RotoWire!$B$2:$E$681, 4, false))</f>
        <v>5</v>
      </c>
      <c r="I97" s="47">
        <f t="shared" si="1"/>
        <v>3.5</v>
      </c>
      <c r="J97" s="47">
        <f t="shared" si="2"/>
        <v>4</v>
      </c>
    </row>
    <row r="98">
      <c r="A98" s="44" t="s">
        <v>180</v>
      </c>
      <c r="B98" s="45" t="s">
        <v>23</v>
      </c>
      <c r="C98" s="45" t="s">
        <v>97</v>
      </c>
      <c r="D98" s="45">
        <v>8.0</v>
      </c>
      <c r="E98" s="46">
        <f>if(ISNA(vlookup($A98, ESPN!$B$2:$E$281, 4, false)), 0, vlookup($A98, ESPN!$B$2:$E$281, 4, false))</f>
        <v>1</v>
      </c>
      <c r="F98" s="46">
        <f>if(ISNA(vlookup($A98, Scout.com!$B$2:$E$239, 4, false)), 0, vlookup($A98, Scout.com!$B$2:$E$239, 4, false))</f>
        <v>5</v>
      </c>
      <c r="G98" s="46">
        <f>if(ISNA(vlookup($A98, FantasyPro!$B$2:$E$318, 4, false)), 0, vlookup($A98, FantasyPro!$B$2:$E$318, 4, false))</f>
        <v>2</v>
      </c>
      <c r="H98" s="46">
        <f>if(ISNA(vlookup($A98, RotoWire!$B$2:$E$681, 4, false)), 0, vlookup($A98, RotoWire!$B$2:$E$681, 4, false))</f>
        <v>6</v>
      </c>
      <c r="I98" s="47">
        <f t="shared" si="1"/>
        <v>3.5</v>
      </c>
      <c r="J98" s="47">
        <f t="shared" si="2"/>
        <v>5</v>
      </c>
    </row>
    <row r="99">
      <c r="A99" s="44" t="s">
        <v>110</v>
      </c>
      <c r="B99" s="45" t="s">
        <v>26</v>
      </c>
      <c r="C99" s="45" t="s">
        <v>17</v>
      </c>
      <c r="D99" s="45">
        <v>10.0</v>
      </c>
      <c r="E99" s="46">
        <f>if(ISNA(vlookup($A99, ESPN!$B$2:$E$281, 4, false)), 0, vlookup($A99, ESPN!$B$2:$E$281, 4, false))</f>
        <v>3</v>
      </c>
      <c r="F99" s="46">
        <f>if(ISNA(vlookup($A99, Scout.com!$B$2:$E$239, 4, false)), 0, vlookup($A99, Scout.com!$B$2:$E$239, 4, false))</f>
        <v>3</v>
      </c>
      <c r="G99" s="46">
        <f>if(ISNA(vlookup($A99, FantasyPro!$B$2:$E$318, 4, false)), 0, vlookup($A99, FantasyPro!$B$2:$E$318, 4, false))</f>
        <v>4</v>
      </c>
      <c r="H99" s="46">
        <f>if(ISNA(vlookup($A99, RotoWire!$B$2:$E$681, 4, false)), 0, vlookup($A99, RotoWire!$B$2:$E$681, 4, false))</f>
        <v>4</v>
      </c>
      <c r="I99" s="47">
        <f t="shared" si="1"/>
        <v>3.5</v>
      </c>
      <c r="J99" s="47">
        <f t="shared" si="2"/>
        <v>1</v>
      </c>
    </row>
    <row r="100">
      <c r="A100" s="44" t="s">
        <v>125</v>
      </c>
      <c r="B100" s="45" t="s">
        <v>47</v>
      </c>
      <c r="C100" s="45" t="s">
        <v>43</v>
      </c>
      <c r="D100" s="45">
        <v>7.0</v>
      </c>
      <c r="E100" s="46">
        <f>if(ISNA(vlookup($A100, ESPN!$B$2:$E$281, 4, false)), 0, vlookup($A100, ESPN!$B$2:$E$281, 4, false))</f>
        <v>2</v>
      </c>
      <c r="F100" s="46">
        <f>if(ISNA(vlookup($A100, Scout.com!$B$2:$E$239, 4, false)), 0, vlookup($A100, Scout.com!$B$2:$E$239, 4, false))</f>
        <v>5</v>
      </c>
      <c r="G100" s="46">
        <f>if(ISNA(vlookup($A100, FantasyPro!$B$2:$E$318, 4, false)), 0, vlookup($A100, FantasyPro!$B$2:$E$318, 4, false))</f>
        <v>6</v>
      </c>
      <c r="H100" s="46">
        <f>if(ISNA(vlookup($A100, RotoWire!$B$2:$E$681, 4, false)), 0, vlookup($A100, RotoWire!$B$2:$E$681, 4, false))</f>
        <v>0</v>
      </c>
      <c r="I100" s="47">
        <f t="shared" si="1"/>
        <v>3.25</v>
      </c>
      <c r="J100" s="47">
        <f t="shared" si="2"/>
        <v>6</v>
      </c>
    </row>
    <row r="101">
      <c r="A101" s="44" t="s">
        <v>248</v>
      </c>
      <c r="B101" s="45" t="s">
        <v>49</v>
      </c>
      <c r="C101" s="45" t="s">
        <v>7</v>
      </c>
      <c r="D101" s="45">
        <v>5.0</v>
      </c>
      <c r="E101" s="46">
        <f>if(ISNA(vlookup($A101, ESPN!$B$2:$E$281, 4, false)), 0, vlookup($A101, ESPN!$B$2:$E$281, 4, false))</f>
        <v>0</v>
      </c>
      <c r="F101" s="46">
        <f>if(ISNA(vlookup($A101, Scout.com!$B$2:$E$239, 4, false)), 0, vlookup($A101, Scout.com!$B$2:$E$239, 4, false))</f>
        <v>0</v>
      </c>
      <c r="G101" s="46">
        <f>if(ISNA(vlookup($A101, FantasyPro!$B$2:$E$318, 4, false)), 0, vlookup($A101, FantasyPro!$B$2:$E$318, 4, false))</f>
        <v>3</v>
      </c>
      <c r="H101" s="46">
        <f>if(ISNA(vlookup($A101, RotoWire!$B$2:$E$681, 4, false)), 0, vlookup($A101, RotoWire!$B$2:$E$681, 4, false))</f>
        <v>10</v>
      </c>
      <c r="I101" s="47">
        <f t="shared" si="1"/>
        <v>3.25</v>
      </c>
      <c r="J101" s="47">
        <f t="shared" si="2"/>
        <v>10</v>
      </c>
    </row>
    <row r="102">
      <c r="A102" s="44" t="s">
        <v>238</v>
      </c>
      <c r="B102" s="45" t="s">
        <v>95</v>
      </c>
      <c r="C102" s="45" t="s">
        <v>7</v>
      </c>
      <c r="D102" s="45">
        <v>11.0</v>
      </c>
      <c r="E102" s="46">
        <f>if(ISNA(vlookup($A102, ESPN!$B$2:$E$281, 4, false)), 0, vlookup($A102, ESPN!$B$2:$E$281, 4, false))</f>
        <v>0</v>
      </c>
      <c r="F102" s="46">
        <f>if(ISNA(vlookup($A102, Scout.com!$B$2:$E$239, 4, false)), 0, vlookup($A102, Scout.com!$B$2:$E$239, 4, false))</f>
        <v>0</v>
      </c>
      <c r="G102" s="46">
        <f>if(ISNA(vlookup($A102, FantasyPro!$B$2:$E$318, 4, false)), 0, vlookup($A102, FantasyPro!$B$2:$E$318, 4, false))</f>
        <v>3</v>
      </c>
      <c r="H102" s="46">
        <f>if(ISNA(vlookup($A102, RotoWire!$B$2:$E$681, 4, false)), 0, vlookup($A102, RotoWire!$B$2:$E$681, 4, false))</f>
        <v>9</v>
      </c>
      <c r="I102" s="47">
        <f t="shared" si="1"/>
        <v>3</v>
      </c>
      <c r="J102" s="47">
        <f t="shared" si="2"/>
        <v>9</v>
      </c>
    </row>
    <row r="103">
      <c r="A103" s="44" t="s">
        <v>118</v>
      </c>
      <c r="B103" s="45" t="s">
        <v>83</v>
      </c>
      <c r="C103" s="45" t="s">
        <v>43</v>
      </c>
      <c r="D103" s="45">
        <v>8.0</v>
      </c>
      <c r="E103" s="46">
        <f>if(ISNA(vlookup($A103, ESPN!$B$2:$E$281, 4, false)), 0, vlookup($A103, ESPN!$B$2:$E$281, 4, false))</f>
        <v>2</v>
      </c>
      <c r="F103" s="46">
        <f>if(ISNA(vlookup($A103, Scout.com!$B$2:$E$239, 4, false)), 0, vlookup($A103, Scout.com!$B$2:$E$239, 4, false))</f>
        <v>3</v>
      </c>
      <c r="G103" s="46">
        <f>if(ISNA(vlookup($A103, FantasyPro!$B$2:$E$318, 4, false)), 0, vlookup($A103, FantasyPro!$B$2:$E$318, 4, false))</f>
        <v>6</v>
      </c>
      <c r="H103" s="46">
        <f>if(ISNA(vlookup($A103, RotoWire!$B$2:$E$681, 4, false)), 0, vlookup($A103, RotoWire!$B$2:$E$681, 4, false))</f>
        <v>1</v>
      </c>
      <c r="I103" s="47">
        <f t="shared" si="1"/>
        <v>3</v>
      </c>
      <c r="J103" s="47">
        <f t="shared" si="2"/>
        <v>5</v>
      </c>
    </row>
    <row r="104">
      <c r="A104" s="44" t="s">
        <v>204</v>
      </c>
      <c r="B104" s="45" t="s">
        <v>47</v>
      </c>
      <c r="C104" s="45" t="s">
        <v>7</v>
      </c>
      <c r="D104" s="45">
        <v>7.0</v>
      </c>
      <c r="E104" s="46">
        <f>if(ISNA(vlookup($A104, ESPN!$B$2:$E$281, 4, false)), 0, vlookup($A104, ESPN!$B$2:$E$281, 4, false))</f>
        <v>0</v>
      </c>
      <c r="F104" s="46">
        <f>if(ISNA(vlookup($A104, Scout.com!$B$2:$E$239, 4, false)), 0, vlookup($A104, Scout.com!$B$2:$E$239, 4, false))</f>
        <v>3</v>
      </c>
      <c r="G104" s="46">
        <f>if(ISNA(vlookup($A104, FantasyPro!$B$2:$E$318, 4, false)), 0, vlookup($A104, FantasyPro!$B$2:$E$318, 4, false))</f>
        <v>1</v>
      </c>
      <c r="H104" s="46">
        <f>if(ISNA(vlookup($A104, RotoWire!$B$2:$E$681, 4, false)), 0, vlookup($A104, RotoWire!$B$2:$E$681, 4, false))</f>
        <v>7</v>
      </c>
      <c r="I104" s="47">
        <f t="shared" si="1"/>
        <v>2.75</v>
      </c>
      <c r="J104" s="47">
        <f t="shared" si="2"/>
        <v>7</v>
      </c>
    </row>
    <row r="105">
      <c r="A105" s="44" t="s">
        <v>158</v>
      </c>
      <c r="B105" s="45" t="s">
        <v>53</v>
      </c>
      <c r="C105" s="45" t="s">
        <v>97</v>
      </c>
      <c r="D105" s="45">
        <v>9.0</v>
      </c>
      <c r="E105" s="46">
        <f>if(ISNA(vlookup($A105, ESPN!$B$2:$E$281, 4, false)), 0, vlookup($A105, ESPN!$B$2:$E$281, 4, false))</f>
        <v>1</v>
      </c>
      <c r="F105" s="46">
        <f>if(ISNA(vlookup($A105, Scout.com!$B$2:$E$239, 4, false)), 0, vlookup($A105, Scout.com!$B$2:$E$239, 4, false))</f>
        <v>7</v>
      </c>
      <c r="G105" s="46">
        <f>if(ISNA(vlookup($A105, FantasyPro!$B$2:$E$318, 4, false)), 0, vlookup($A105, FantasyPro!$B$2:$E$318, 4, false))</f>
        <v>3</v>
      </c>
      <c r="H105" s="46">
        <f>if(ISNA(vlookup($A105, RotoWire!$B$2:$E$681, 4, false)), 0, vlookup($A105, RotoWire!$B$2:$E$681, 4, false))</f>
        <v>0</v>
      </c>
      <c r="I105" s="47">
        <f t="shared" si="1"/>
        <v>2.75</v>
      </c>
      <c r="J105" s="47">
        <f t="shared" si="2"/>
        <v>7</v>
      </c>
    </row>
    <row r="106">
      <c r="A106" s="44" t="s">
        <v>191</v>
      </c>
      <c r="B106" s="45" t="s">
        <v>63</v>
      </c>
      <c r="C106" s="45" t="s">
        <v>7</v>
      </c>
      <c r="D106" s="45">
        <v>10.0</v>
      </c>
      <c r="E106" s="46">
        <f>if(ISNA(vlookup($A106, ESPN!$B$2:$E$281, 4, false)), 0, vlookup($A106, ESPN!$B$2:$E$281, 4, false))</f>
        <v>0</v>
      </c>
      <c r="F106" s="46">
        <f>if(ISNA(vlookup($A106, Scout.com!$B$2:$E$239, 4, false)), 0, vlookup($A106, Scout.com!$B$2:$E$239, 4, false))</f>
        <v>0</v>
      </c>
      <c r="G106" s="46">
        <f>if(ISNA(vlookup($A106, FantasyPro!$B$2:$E$318, 4, false)), 0, vlookup($A106, FantasyPro!$B$2:$E$318, 4, false))</f>
        <v>3</v>
      </c>
      <c r="H106" s="46">
        <f>if(ISNA(vlookup($A106, RotoWire!$B$2:$E$681, 4, false)), 0, vlookup($A106, RotoWire!$B$2:$E$681, 4, false))</f>
        <v>8</v>
      </c>
      <c r="I106" s="47">
        <f t="shared" si="1"/>
        <v>2.75</v>
      </c>
      <c r="J106" s="47">
        <f t="shared" si="2"/>
        <v>8</v>
      </c>
    </row>
    <row r="107">
      <c r="A107" s="44" t="s">
        <v>145</v>
      </c>
      <c r="B107" s="45" t="s">
        <v>60</v>
      </c>
      <c r="C107" s="45" t="s">
        <v>17</v>
      </c>
      <c r="D107" s="45">
        <v>9.0</v>
      </c>
      <c r="E107" s="46">
        <f>if(ISNA(vlookup($A107, ESPN!$B$2:$E$281, 4, false)), 0, vlookup($A107, ESPN!$B$2:$E$281, 4, false))</f>
        <v>1</v>
      </c>
      <c r="F107" s="46">
        <f>if(ISNA(vlookup($A107, Scout.com!$B$2:$E$239, 4, false)), 0, vlookup($A107, Scout.com!$B$2:$E$239, 4, false))</f>
        <v>3</v>
      </c>
      <c r="G107" s="46">
        <f>if(ISNA(vlookup($A107, FantasyPro!$B$2:$E$318, 4, false)), 0, vlookup($A107, FantasyPro!$B$2:$E$318, 4, false))</f>
        <v>4</v>
      </c>
      <c r="H107" s="46">
        <f>if(ISNA(vlookup($A107, RotoWire!$B$2:$E$681, 4, false)), 0, vlookup($A107, RotoWire!$B$2:$E$681, 4, false))</f>
        <v>3</v>
      </c>
      <c r="I107" s="47">
        <f t="shared" si="1"/>
        <v>2.75</v>
      </c>
      <c r="J107" s="47">
        <f t="shared" si="2"/>
        <v>3</v>
      </c>
    </row>
    <row r="108">
      <c r="A108" s="44" t="s">
        <v>115</v>
      </c>
      <c r="B108" s="45" t="s">
        <v>47</v>
      </c>
      <c r="C108" s="45" t="s">
        <v>17</v>
      </c>
      <c r="D108" s="45">
        <v>7.0</v>
      </c>
      <c r="E108" s="46">
        <f>if(ISNA(vlookup($A108, ESPN!$B$2:$E$281, 4, false)), 0, vlookup($A108, ESPN!$B$2:$E$281, 4, false))</f>
        <v>3</v>
      </c>
      <c r="F108" s="46">
        <f>if(ISNA(vlookup($A108, Scout.com!$B$2:$E$239, 4, false)), 0, vlookup($A108, Scout.com!$B$2:$E$239, 4, false))</f>
        <v>3</v>
      </c>
      <c r="G108" s="46">
        <f>if(ISNA(vlookup($A108, FantasyPro!$B$2:$E$318, 4, false)), 0, vlookup($A108, FantasyPro!$B$2:$E$318, 4, false))</f>
        <v>5</v>
      </c>
      <c r="H108" s="46">
        <f>if(ISNA(vlookup($A108, RotoWire!$B$2:$E$681, 4, false)), 0, vlookup($A108, RotoWire!$B$2:$E$681, 4, false))</f>
        <v>0</v>
      </c>
      <c r="I108" s="47">
        <f t="shared" si="1"/>
        <v>2.75</v>
      </c>
      <c r="J108" s="47">
        <f t="shared" si="2"/>
        <v>5</v>
      </c>
    </row>
    <row r="109">
      <c r="A109" s="44" t="s">
        <v>170</v>
      </c>
      <c r="B109" s="45" t="s">
        <v>23</v>
      </c>
      <c r="C109" s="45" t="s">
        <v>17</v>
      </c>
      <c r="D109" s="45">
        <v>8.0</v>
      </c>
      <c r="E109" s="46">
        <f>if(ISNA(vlookup($A109, ESPN!$B$2:$E$281, 4, false)), 0, vlookup($A109, ESPN!$B$2:$E$281, 4, false))</f>
        <v>1</v>
      </c>
      <c r="F109" s="46">
        <f>if(ISNA(vlookup($A109, Scout.com!$B$2:$E$239, 4, false)), 0, vlookup($A109, Scout.com!$B$2:$E$239, 4, false))</f>
        <v>7</v>
      </c>
      <c r="G109" s="46">
        <f>if(ISNA(vlookup($A109, FantasyPro!$B$2:$E$318, 4, false)), 0, vlookup($A109, FantasyPro!$B$2:$E$318, 4, false))</f>
        <v>0</v>
      </c>
      <c r="H109" s="46">
        <f>if(ISNA(vlookup($A109, RotoWire!$B$2:$E$681, 4, false)), 0, vlookup($A109, RotoWire!$B$2:$E$681, 4, false))</f>
        <v>2</v>
      </c>
      <c r="I109" s="47">
        <f t="shared" si="1"/>
        <v>2.5</v>
      </c>
      <c r="J109" s="47">
        <f t="shared" si="2"/>
        <v>7</v>
      </c>
    </row>
    <row r="110">
      <c r="A110" s="44" t="s">
        <v>164</v>
      </c>
      <c r="B110" s="45" t="s">
        <v>41</v>
      </c>
      <c r="C110" s="45" t="s">
        <v>17</v>
      </c>
      <c r="D110" s="45">
        <v>4.0</v>
      </c>
      <c r="E110" s="46">
        <f>if(ISNA(vlookup($A110, ESPN!$B$2:$E$281, 4, false)), 0, vlookup($A110, ESPN!$B$2:$E$281, 4, false))</f>
        <v>1</v>
      </c>
      <c r="F110" s="46">
        <f>if(ISNA(vlookup($A110, Scout.com!$B$2:$E$239, 4, false)), 0, vlookup($A110, Scout.com!$B$2:$E$239, 4, false))</f>
        <v>8</v>
      </c>
      <c r="G110" s="46">
        <f>if(ISNA(vlookup($A110, FantasyPro!$B$2:$E$318, 4, false)), 0, vlookup($A110, FantasyPro!$B$2:$E$318, 4, false))</f>
        <v>0</v>
      </c>
      <c r="H110" s="46">
        <f>if(ISNA(vlookup($A110, RotoWire!$B$2:$E$681, 4, false)), 0, vlookup($A110, RotoWire!$B$2:$E$681, 4, false))</f>
        <v>1</v>
      </c>
      <c r="I110" s="47">
        <f t="shared" si="1"/>
        <v>2.5</v>
      </c>
      <c r="J110" s="47">
        <f t="shared" si="2"/>
        <v>8</v>
      </c>
    </row>
    <row r="111">
      <c r="A111" s="44" t="s">
        <v>153</v>
      </c>
      <c r="B111" s="45" t="s">
        <v>39</v>
      </c>
      <c r="C111" s="45" t="s">
        <v>7</v>
      </c>
      <c r="D111" s="45">
        <v>9.0</v>
      </c>
      <c r="E111" s="46">
        <f>if(ISNA(vlookup($A111, ESPN!$B$2:$E$281, 4, false)), 0, vlookup($A111, ESPN!$B$2:$E$281, 4, false))</f>
        <v>1</v>
      </c>
      <c r="F111" s="46">
        <f>if(ISNA(vlookup($A111, Scout.com!$B$2:$E$239, 4, false)), 0, vlookup($A111, Scout.com!$B$2:$E$239, 4, false))</f>
        <v>0</v>
      </c>
      <c r="G111" s="46">
        <f>if(ISNA(vlookup($A111, FantasyPro!$B$2:$E$318, 4, false)), 0, vlookup($A111, FantasyPro!$B$2:$E$318, 4, false))</f>
        <v>3</v>
      </c>
      <c r="H111" s="46">
        <f>if(ISNA(vlookup($A111, RotoWire!$B$2:$E$681, 4, false)), 0, vlookup($A111, RotoWire!$B$2:$E$681, 4, false))</f>
        <v>6</v>
      </c>
      <c r="I111" s="47">
        <f t="shared" si="1"/>
        <v>2.5</v>
      </c>
      <c r="J111" s="47">
        <f t="shared" si="2"/>
        <v>6</v>
      </c>
    </row>
    <row r="112">
      <c r="A112" s="44" t="s">
        <v>198</v>
      </c>
      <c r="B112" s="48" t="s">
        <v>30</v>
      </c>
      <c r="C112" s="45" t="s">
        <v>199</v>
      </c>
      <c r="D112" s="45">
        <v>9.0</v>
      </c>
      <c r="E112" s="46">
        <f>if(ISNA(vlookup($A112, ESPN!$B$2:$E$281, 4, false)), 0, vlookup($A112, ESPN!$B$2:$E$281, 4, false))</f>
        <v>1</v>
      </c>
      <c r="F112" s="46">
        <f>if(ISNA(vlookup($A112, Scout.com!$B$2:$E$239, 4, false)), 0, vlookup($A112, Scout.com!$B$2:$E$239, 4, false))</f>
        <v>4</v>
      </c>
      <c r="G112" s="46">
        <f>if(ISNA(vlookup($A112, FantasyPro!$B$2:$E$318, 4, false)), 0, vlookup($A112, FantasyPro!$B$2:$E$318, 4, false))</f>
        <v>2</v>
      </c>
      <c r="H112" s="46">
        <f>if(ISNA(vlookup($A112, RotoWire!$B$2:$E$681, 4, false)), 0, vlookup($A112, RotoWire!$B$2:$E$681, 4, false))</f>
        <v>3</v>
      </c>
      <c r="I112" s="47">
        <f t="shared" si="1"/>
        <v>2.5</v>
      </c>
      <c r="J112" s="47">
        <f t="shared" si="2"/>
        <v>3</v>
      </c>
    </row>
    <row r="113">
      <c r="A113" s="44" t="s">
        <v>132</v>
      </c>
      <c r="B113" s="45" t="s">
        <v>15</v>
      </c>
      <c r="C113" s="45" t="s">
        <v>17</v>
      </c>
      <c r="D113" s="45">
        <v>11.0</v>
      </c>
      <c r="E113" s="46">
        <f>if(ISNA(vlookup($A113, ESPN!$B$2:$E$281, 4, false)), 0, vlookup($A113, ESPN!$B$2:$E$281, 4, false))</f>
        <v>2</v>
      </c>
      <c r="F113" s="46">
        <f>if(ISNA(vlookup($A113, Scout.com!$B$2:$E$239, 4, false)), 0, vlookup($A113, Scout.com!$B$2:$E$239, 4, false))</f>
        <v>3</v>
      </c>
      <c r="G113" s="46">
        <f>if(ISNA(vlookup($A113, FantasyPro!$B$2:$E$318, 4, false)), 0, vlookup($A113, FantasyPro!$B$2:$E$318, 4, false))</f>
        <v>3</v>
      </c>
      <c r="H113" s="46">
        <f>if(ISNA(vlookup($A113, RotoWire!$B$2:$E$681, 4, false)), 0, vlookup($A113, RotoWire!$B$2:$E$681, 4, false))</f>
        <v>2</v>
      </c>
      <c r="I113" s="47">
        <f t="shared" si="1"/>
        <v>2.5</v>
      </c>
      <c r="J113" s="47">
        <f t="shared" si="2"/>
        <v>1</v>
      </c>
    </row>
    <row r="114">
      <c r="A114" s="44" t="s">
        <v>116</v>
      </c>
      <c r="B114" s="45" t="s">
        <v>45</v>
      </c>
      <c r="C114" s="45" t="s">
        <v>17</v>
      </c>
      <c r="D114" s="45">
        <v>11.0</v>
      </c>
      <c r="E114" s="46">
        <f>if(ISNA(vlookup($A114, ESPN!$B$2:$E$281, 4, false)), 0, vlookup($A114, ESPN!$B$2:$E$281, 4, false))</f>
        <v>3</v>
      </c>
      <c r="F114" s="46">
        <f>if(ISNA(vlookup($A114, Scout.com!$B$2:$E$239, 4, false)), 0, vlookup($A114, Scout.com!$B$2:$E$239, 4, false))</f>
        <v>0</v>
      </c>
      <c r="G114" s="46">
        <f>if(ISNA(vlookup($A114, FantasyPro!$B$2:$E$318, 4, false)), 0, vlookup($A114, FantasyPro!$B$2:$E$318, 4, false))</f>
        <v>4</v>
      </c>
      <c r="H114" s="46">
        <f>if(ISNA(vlookup($A114, RotoWire!$B$2:$E$681, 4, false)), 0, vlookup($A114, RotoWire!$B$2:$E$681, 4, false))</f>
        <v>3</v>
      </c>
      <c r="I114" s="47">
        <f t="shared" si="1"/>
        <v>2.5</v>
      </c>
      <c r="J114" s="47">
        <f t="shared" si="2"/>
        <v>4</v>
      </c>
    </row>
    <row r="115">
      <c r="A115" s="44" t="s">
        <v>320</v>
      </c>
      <c r="B115" s="45" t="s">
        <v>67</v>
      </c>
      <c r="C115" s="45" t="s">
        <v>97</v>
      </c>
      <c r="D115" s="45">
        <v>11.0</v>
      </c>
      <c r="E115" s="46">
        <f>if(ISNA(vlookup($A115, ESPN!$B$2:$E$281, 4, false)), 0, vlookup($A115, ESPN!$B$2:$E$281, 4, false))</f>
        <v>0</v>
      </c>
      <c r="F115" s="46">
        <f>if(ISNA(vlookup($A115, Scout.com!$B$2:$E$239, 4, false)), 0, vlookup($A115, Scout.com!$B$2:$E$239, 4, false))</f>
        <v>9</v>
      </c>
      <c r="G115" s="46">
        <f>if(ISNA(vlookup($A115, FantasyPro!$B$2:$E$318, 4, false)), 0, vlookup($A115, FantasyPro!$B$2:$E$318, 4, false))</f>
        <v>0</v>
      </c>
      <c r="H115" s="46">
        <f>if(ISNA(vlookup($A115, RotoWire!$B$2:$E$681, 4, false)), 0, vlookup($A115, RotoWire!$B$2:$E$681, 4, false))</f>
        <v>0</v>
      </c>
      <c r="I115" s="47">
        <f t="shared" si="1"/>
        <v>2.25</v>
      </c>
      <c r="J115" s="47">
        <f t="shared" si="2"/>
        <v>9</v>
      </c>
    </row>
    <row r="116">
      <c r="A116" s="44" t="s">
        <v>392</v>
      </c>
      <c r="B116" s="45" t="s">
        <v>65</v>
      </c>
      <c r="C116" s="45" t="s">
        <v>7</v>
      </c>
      <c r="D116" s="45">
        <v>7.0</v>
      </c>
      <c r="E116" s="46">
        <f>if(ISNA(vlookup($A116, ESPN!$B$2:$E$281, 4, false)), 0, vlookup($A116, ESPN!$B$2:$E$281, 4, false))</f>
        <v>0</v>
      </c>
      <c r="F116" s="46">
        <f>if(ISNA(vlookup($A116, Scout.com!$B$2:$E$239, 4, false)), 0, vlookup($A116, Scout.com!$B$2:$E$239, 4, false))</f>
        <v>0</v>
      </c>
      <c r="G116" s="46">
        <f>if(ISNA(vlookup($A116, FantasyPro!$B$2:$E$318, 4, false)), 0, vlookup($A116, FantasyPro!$B$2:$E$318, 4, false))</f>
        <v>0</v>
      </c>
      <c r="H116" s="46">
        <f>if(ISNA(vlookup($A116, RotoWire!$B$2:$E$681, 4, false)), 0, vlookup($A116, RotoWire!$B$2:$E$681, 4, false))</f>
        <v>9</v>
      </c>
      <c r="I116" s="47">
        <f t="shared" si="1"/>
        <v>2.25</v>
      </c>
      <c r="J116" s="47">
        <f t="shared" si="2"/>
        <v>9</v>
      </c>
    </row>
    <row r="117">
      <c r="A117" s="44" t="s">
        <v>288</v>
      </c>
      <c r="B117" s="45" t="s">
        <v>75</v>
      </c>
      <c r="C117" s="45" t="s">
        <v>97</v>
      </c>
      <c r="D117" s="45">
        <v>7.0</v>
      </c>
      <c r="E117" s="46">
        <f>if(ISNA(vlookup($A117, ESPN!$B$2:$E$281, 4, false)), 0, vlookup($A117, ESPN!$B$2:$E$281, 4, false))</f>
        <v>0</v>
      </c>
      <c r="F117" s="46">
        <f>if(ISNA(vlookup($A117, Scout.com!$B$2:$E$239, 4, false)), 0, vlookup($A117, Scout.com!$B$2:$E$239, 4, false))</f>
        <v>5</v>
      </c>
      <c r="G117" s="46">
        <f>if(ISNA(vlookup($A117, FantasyPro!$B$2:$E$318, 4, false)), 0, vlookup($A117, FantasyPro!$B$2:$E$318, 4, false))</f>
        <v>0</v>
      </c>
      <c r="H117" s="46">
        <f>if(ISNA(vlookup($A117, RotoWire!$B$2:$E$681, 4, false)), 0, vlookup($A117, RotoWire!$B$2:$E$681, 4, false))</f>
        <v>4</v>
      </c>
      <c r="I117" s="47">
        <f t="shared" si="1"/>
        <v>2.25</v>
      </c>
      <c r="J117" s="47">
        <f t="shared" si="2"/>
        <v>5</v>
      </c>
    </row>
    <row r="118">
      <c r="A118" s="44" t="s">
        <v>129</v>
      </c>
      <c r="B118" s="45" t="s">
        <v>45</v>
      </c>
      <c r="C118" s="45" t="s">
        <v>17</v>
      </c>
      <c r="D118" s="45">
        <v>11.0</v>
      </c>
      <c r="E118" s="46">
        <f>if(ISNA(vlookup($A118, ESPN!$B$2:$E$281, 4, false)), 0, vlookup($A118, ESPN!$B$2:$E$281, 4, false))</f>
        <v>2</v>
      </c>
      <c r="F118" s="46">
        <f>if(ISNA(vlookup($A118, Scout.com!$B$2:$E$239, 4, false)), 0, vlookup($A118, Scout.com!$B$2:$E$239, 4, false))</f>
        <v>3</v>
      </c>
      <c r="G118" s="46">
        <f>if(ISNA(vlookup($A118, FantasyPro!$B$2:$E$318, 4, false)), 0, vlookup($A118, FantasyPro!$B$2:$E$318, 4, false))</f>
        <v>3</v>
      </c>
      <c r="H118" s="46">
        <f>if(ISNA(vlookup($A118, RotoWire!$B$2:$E$681, 4, false)), 0, vlookup($A118, RotoWire!$B$2:$E$681, 4, false))</f>
        <v>1</v>
      </c>
      <c r="I118" s="47">
        <f t="shared" si="1"/>
        <v>2.25</v>
      </c>
      <c r="J118" s="47">
        <f t="shared" si="2"/>
        <v>2</v>
      </c>
    </row>
    <row r="119">
      <c r="A119" s="44" t="s">
        <v>216</v>
      </c>
      <c r="B119" s="45" t="s">
        <v>26</v>
      </c>
      <c r="C119" s="45" t="s">
        <v>199</v>
      </c>
      <c r="D119" s="45">
        <v>10.0</v>
      </c>
      <c r="E119" s="46">
        <f>if(ISNA(vlookup($A119, ESPN!$B$2:$E$281, 4, false)), 0, vlookup($A119, ESPN!$B$2:$E$281, 4, false))</f>
        <v>1</v>
      </c>
      <c r="F119" s="46">
        <f>if(ISNA(vlookup($A119, Scout.com!$B$2:$E$239, 4, false)), 0, vlookup($A119, Scout.com!$B$2:$E$239, 4, false))</f>
        <v>5</v>
      </c>
      <c r="G119" s="46">
        <f>if(ISNA(vlookup($A119, FantasyPro!$B$2:$E$318, 4, false)), 0, vlookup($A119, FantasyPro!$B$2:$E$318, 4, false))</f>
        <v>1</v>
      </c>
      <c r="H119" s="46">
        <f>if(ISNA(vlookup($A119, RotoWire!$B$2:$E$681, 4, false)), 0, vlookup($A119, RotoWire!$B$2:$E$681, 4, false))</f>
        <v>2</v>
      </c>
      <c r="I119" s="47">
        <f t="shared" si="1"/>
        <v>2.25</v>
      </c>
      <c r="J119" s="47">
        <f t="shared" si="2"/>
        <v>4</v>
      </c>
    </row>
    <row r="120">
      <c r="A120" s="44" t="s">
        <v>317</v>
      </c>
      <c r="B120" s="45" t="s">
        <v>11</v>
      </c>
      <c r="C120" s="45" t="s">
        <v>97</v>
      </c>
      <c r="D120" s="45">
        <v>9.0</v>
      </c>
      <c r="E120" s="46">
        <f>if(ISNA(vlookup($A120, ESPN!$B$2:$E$281, 4, false)), 0, vlookup($A120, ESPN!$B$2:$E$281, 4, false))</f>
        <v>0</v>
      </c>
      <c r="F120" s="46">
        <f>if(ISNA(vlookup($A120, Scout.com!$B$2:$E$239, 4, false)), 0, vlookup($A120, Scout.com!$B$2:$E$239, 4, false))</f>
        <v>9</v>
      </c>
      <c r="G120" s="46">
        <f>if(ISNA(vlookup($A120, FantasyPro!$B$2:$E$318, 4, false)), 0, vlookup($A120, FantasyPro!$B$2:$E$318, 4, false))</f>
        <v>0</v>
      </c>
      <c r="H120" s="46">
        <f>if(ISNA(vlookup($A120, RotoWire!$B$2:$E$681, 4, false)), 0, vlookup($A120, RotoWire!$B$2:$E$681, 4, false))</f>
        <v>0</v>
      </c>
      <c r="I120" s="47">
        <f t="shared" si="1"/>
        <v>2.25</v>
      </c>
      <c r="J120" s="47">
        <f t="shared" si="2"/>
        <v>9</v>
      </c>
    </row>
    <row r="121">
      <c r="A121" s="44" t="s">
        <v>140</v>
      </c>
      <c r="B121" s="45" t="s">
        <v>32</v>
      </c>
      <c r="C121" s="45" t="s">
        <v>43</v>
      </c>
      <c r="D121" s="45">
        <v>10.0</v>
      </c>
      <c r="E121" s="46">
        <f>if(ISNA(vlookup($A121, ESPN!$B$2:$E$281, 4, false)), 0, vlookup($A121, ESPN!$B$2:$E$281, 4, false))</f>
        <v>1</v>
      </c>
      <c r="F121" s="46">
        <f>if(ISNA(vlookup($A121, Scout.com!$B$2:$E$239, 4, false)), 0, vlookup($A121, Scout.com!$B$2:$E$239, 4, false))</f>
        <v>4</v>
      </c>
      <c r="G121" s="46">
        <f>if(ISNA(vlookup($A121, FantasyPro!$B$2:$E$318, 4, false)), 0, vlookup($A121, FantasyPro!$B$2:$E$318, 4, false))</f>
        <v>4</v>
      </c>
      <c r="H121" s="46">
        <f>if(ISNA(vlookup($A121, RotoWire!$B$2:$E$681, 4, false)), 0, vlookup($A121, RotoWire!$B$2:$E$681, 4, false))</f>
        <v>0</v>
      </c>
      <c r="I121" s="47">
        <f t="shared" si="1"/>
        <v>2.25</v>
      </c>
      <c r="J121" s="47">
        <f t="shared" si="2"/>
        <v>4</v>
      </c>
    </row>
    <row r="122">
      <c r="A122" s="44" t="s">
        <v>176</v>
      </c>
      <c r="B122" s="45" t="s">
        <v>28</v>
      </c>
      <c r="C122" s="45" t="s">
        <v>97</v>
      </c>
      <c r="D122" s="45">
        <v>12.0</v>
      </c>
      <c r="E122" s="46">
        <f>if(ISNA(vlookup($A122, ESPN!$B$2:$E$281, 4, false)), 0, vlookup($A122, ESPN!$B$2:$E$281, 4, false))</f>
        <v>1</v>
      </c>
      <c r="F122" s="46">
        <f>if(ISNA(vlookup($A122, Scout.com!$B$2:$E$239, 4, false)), 0, vlookup($A122, Scout.com!$B$2:$E$239, 4, false))</f>
        <v>7</v>
      </c>
      <c r="G122" s="46">
        <f>if(ISNA(vlookup($A122, FantasyPro!$B$2:$E$318, 4, false)), 0, vlookup($A122, FantasyPro!$B$2:$E$318, 4, false))</f>
        <v>1</v>
      </c>
      <c r="H122" s="46">
        <f>if(ISNA(vlookup($A122, RotoWire!$B$2:$E$681, 4, false)), 0, vlookup($A122, RotoWire!$B$2:$E$681, 4, false))</f>
        <v>0</v>
      </c>
      <c r="I122" s="47">
        <f t="shared" si="1"/>
        <v>2.25</v>
      </c>
      <c r="J122" s="47">
        <f t="shared" si="2"/>
        <v>7</v>
      </c>
    </row>
    <row r="123">
      <c r="A123" s="44" t="s">
        <v>213</v>
      </c>
      <c r="B123" s="45" t="s">
        <v>60</v>
      </c>
      <c r="C123" s="45" t="s">
        <v>199</v>
      </c>
      <c r="D123" s="45">
        <v>9.0</v>
      </c>
      <c r="E123" s="46">
        <f>if(ISNA(vlookup($A123, ESPN!$B$2:$E$281, 4, false)), 0, vlookup($A123, ESPN!$B$2:$E$281, 4, false))</f>
        <v>1</v>
      </c>
      <c r="F123" s="46">
        <f>if(ISNA(vlookup($A123, Scout.com!$B$2:$E$239, 4, false)), 0, vlookup($A123, Scout.com!$B$2:$E$239, 4, false))</f>
        <v>5</v>
      </c>
      <c r="G123" s="46">
        <f>if(ISNA(vlookup($A123, FantasyPro!$B$2:$E$318, 4, false)), 0, vlookup($A123, FantasyPro!$B$2:$E$318, 4, false))</f>
        <v>1</v>
      </c>
      <c r="H123" s="46">
        <f>if(ISNA(vlookup($A123, RotoWire!$B$2:$E$681, 4, false)), 0, vlookup($A123, RotoWire!$B$2:$E$681, 4, false))</f>
        <v>2</v>
      </c>
      <c r="I123" s="47">
        <f t="shared" si="1"/>
        <v>2.25</v>
      </c>
      <c r="J123" s="47">
        <f t="shared" si="2"/>
        <v>4</v>
      </c>
    </row>
    <row r="124">
      <c r="A124" s="44" t="s">
        <v>133</v>
      </c>
      <c r="B124" s="45" t="s">
        <v>19</v>
      </c>
      <c r="C124" s="45" t="s">
        <v>17</v>
      </c>
      <c r="D124" s="45">
        <v>9.0</v>
      </c>
      <c r="E124" s="46">
        <f>if(ISNA(vlookup($A124, ESPN!$B$2:$E$281, 4, false)), 0, vlookup($A124, ESPN!$B$2:$E$281, 4, false))</f>
        <v>2</v>
      </c>
      <c r="F124" s="46">
        <f>if(ISNA(vlookup($A124, Scout.com!$B$2:$E$239, 4, false)), 0, vlookup($A124, Scout.com!$B$2:$E$239, 4, false))</f>
        <v>0</v>
      </c>
      <c r="G124" s="46">
        <f>if(ISNA(vlookup($A124, FantasyPro!$B$2:$E$318, 4, false)), 0, vlookup($A124, FantasyPro!$B$2:$E$318, 4, false))</f>
        <v>3</v>
      </c>
      <c r="H124" s="46">
        <f>if(ISNA(vlookup($A124, RotoWire!$B$2:$E$681, 4, false)), 0, vlookup($A124, RotoWire!$B$2:$E$681, 4, false))</f>
        <v>4</v>
      </c>
      <c r="I124" s="47">
        <f t="shared" si="1"/>
        <v>2.25</v>
      </c>
      <c r="J124" s="47">
        <f t="shared" si="2"/>
        <v>4</v>
      </c>
    </row>
    <row r="125">
      <c r="A125" s="44" t="s">
        <v>183</v>
      </c>
      <c r="B125" s="45" t="s">
        <v>51</v>
      </c>
      <c r="C125" s="45" t="s">
        <v>17</v>
      </c>
      <c r="D125" s="45">
        <v>5.0</v>
      </c>
      <c r="E125" s="46">
        <f>if(ISNA(vlookup($A125, ESPN!$B$2:$E$281, 4, false)), 0, vlookup($A125, ESPN!$B$2:$E$281, 4, false))</f>
        <v>0</v>
      </c>
      <c r="F125" s="46">
        <f>if(ISNA(vlookup($A125, Scout.com!$B$2:$E$239, 4, false)), 0, vlookup($A125, Scout.com!$B$2:$E$239, 4, false))</f>
        <v>5</v>
      </c>
      <c r="G125" s="46">
        <f>if(ISNA(vlookup($A125, FantasyPro!$B$2:$E$318, 4, false)), 0, vlookup($A125, FantasyPro!$B$2:$E$318, 4, false))</f>
        <v>0</v>
      </c>
      <c r="H125" s="46">
        <f>if(ISNA(vlookup($A125, RotoWire!$B$2:$E$681, 4, false)), 0, vlookup($A125, RotoWire!$B$2:$E$681, 4, false))</f>
        <v>3</v>
      </c>
      <c r="I125" s="47">
        <f t="shared" si="1"/>
        <v>2</v>
      </c>
      <c r="J125" s="47">
        <f t="shared" si="2"/>
        <v>5</v>
      </c>
    </row>
    <row r="126">
      <c r="A126" s="44" t="s">
        <v>201</v>
      </c>
      <c r="B126" s="45" t="s">
        <v>11</v>
      </c>
      <c r="C126" s="45" t="s">
        <v>17</v>
      </c>
      <c r="D126" s="45">
        <v>9.0</v>
      </c>
      <c r="E126" s="46">
        <f>if(ISNA(vlookup($A126, ESPN!$B$2:$E$281, 4, false)), 0, vlookup($A126, ESPN!$B$2:$E$281, 4, false))</f>
        <v>0</v>
      </c>
      <c r="F126" s="46">
        <f>if(ISNA(vlookup($A126, Scout.com!$B$2:$E$239, 4, false)), 0, vlookup($A126, Scout.com!$B$2:$E$239, 4, false))</f>
        <v>6</v>
      </c>
      <c r="G126" s="46">
        <f>if(ISNA(vlookup($A126, FantasyPro!$B$2:$E$318, 4, false)), 0, vlookup($A126, FantasyPro!$B$2:$E$318, 4, false))</f>
        <v>0</v>
      </c>
      <c r="H126" s="46">
        <f>if(ISNA(vlookup($A126, RotoWire!$B$2:$E$681, 4, false)), 0, vlookup($A126, RotoWire!$B$2:$E$681, 4, false))</f>
        <v>2</v>
      </c>
      <c r="I126" s="47">
        <f t="shared" si="1"/>
        <v>2</v>
      </c>
      <c r="J126" s="47">
        <f t="shared" si="2"/>
        <v>6</v>
      </c>
    </row>
    <row r="127">
      <c r="A127" s="44" t="s">
        <v>131</v>
      </c>
      <c r="B127" s="45" t="s">
        <v>123</v>
      </c>
      <c r="C127" s="45" t="s">
        <v>43</v>
      </c>
      <c r="D127" s="45">
        <v>4.0</v>
      </c>
      <c r="E127" s="46">
        <f>if(ISNA(vlookup($A127, ESPN!$B$2:$E$281, 4, false)), 0, vlookup($A127, ESPN!$B$2:$E$281, 4, false))</f>
        <v>2</v>
      </c>
      <c r="F127" s="46">
        <f>if(ISNA(vlookup($A127, Scout.com!$B$2:$E$239, 4, false)), 0, vlookup($A127, Scout.com!$B$2:$E$239, 4, false))</f>
        <v>3</v>
      </c>
      <c r="G127" s="46">
        <f>if(ISNA(vlookup($A127, FantasyPro!$B$2:$E$318, 4, false)), 0, vlookup($A127, FantasyPro!$B$2:$E$318, 4, false))</f>
        <v>3</v>
      </c>
      <c r="H127" s="46">
        <f>if(ISNA(vlookup($A127, RotoWire!$B$2:$E$681, 4, false)), 0, vlookup($A127, RotoWire!$B$2:$E$681, 4, false))</f>
        <v>0</v>
      </c>
      <c r="I127" s="47">
        <f t="shared" si="1"/>
        <v>2</v>
      </c>
      <c r="J127" s="47">
        <f t="shared" si="2"/>
        <v>3</v>
      </c>
    </row>
    <row r="128">
      <c r="A128" s="44" t="s">
        <v>134</v>
      </c>
      <c r="B128" s="45" t="s">
        <v>75</v>
      </c>
      <c r="C128" s="45" t="s">
        <v>17</v>
      </c>
      <c r="D128" s="45">
        <v>7.0</v>
      </c>
      <c r="E128" s="46">
        <f>if(ISNA(vlookup($A128, ESPN!$B$2:$E$281, 4, false)), 0, vlookup($A128, ESPN!$B$2:$E$281, 4, false))</f>
        <v>2</v>
      </c>
      <c r="F128" s="46">
        <f>if(ISNA(vlookup($A128, Scout.com!$B$2:$E$239, 4, false)), 0, vlookup($A128, Scout.com!$B$2:$E$239, 4, false))</f>
        <v>3</v>
      </c>
      <c r="G128" s="46">
        <f>if(ISNA(vlookup($A128, FantasyPro!$B$2:$E$318, 4, false)), 0, vlookup($A128, FantasyPro!$B$2:$E$318, 4, false))</f>
        <v>3</v>
      </c>
      <c r="H128" s="46">
        <f>if(ISNA(vlookup($A128, RotoWire!$B$2:$E$681, 4, false)), 0, vlookup($A128, RotoWire!$B$2:$E$681, 4, false))</f>
        <v>0</v>
      </c>
      <c r="I128" s="47">
        <f t="shared" si="1"/>
        <v>2</v>
      </c>
      <c r="J128" s="47">
        <f t="shared" si="2"/>
        <v>3</v>
      </c>
    </row>
    <row r="129">
      <c r="A129" s="44" t="s">
        <v>315</v>
      </c>
      <c r="B129" s="45" t="s">
        <v>88</v>
      </c>
      <c r="C129" s="45" t="s">
        <v>97</v>
      </c>
      <c r="D129" s="45">
        <v>10.0</v>
      </c>
      <c r="E129" s="46">
        <f>if(ISNA(vlookup($A129, ESPN!$B$2:$E$281, 4, false)), 0, vlookup($A129, ESPN!$B$2:$E$281, 4, false))</f>
        <v>0</v>
      </c>
      <c r="F129" s="46">
        <f>if(ISNA(vlookup($A129, Scout.com!$B$2:$E$239, 4, false)), 0, vlookup($A129, Scout.com!$B$2:$E$239, 4, false))</f>
        <v>8</v>
      </c>
      <c r="G129" s="46">
        <f>if(ISNA(vlookup($A129, FantasyPro!$B$2:$E$318, 4, false)), 0, vlookup($A129, FantasyPro!$B$2:$E$318, 4, false))</f>
        <v>0</v>
      </c>
      <c r="H129" s="46">
        <f>if(ISNA(vlookup($A129, RotoWire!$B$2:$E$681, 4, false)), 0, vlookup($A129, RotoWire!$B$2:$E$681, 4, false))</f>
        <v>0</v>
      </c>
      <c r="I129" s="47">
        <f t="shared" si="1"/>
        <v>2</v>
      </c>
      <c r="J129" s="47">
        <f t="shared" si="2"/>
        <v>8</v>
      </c>
    </row>
    <row r="130">
      <c r="A130" s="44" t="s">
        <v>155</v>
      </c>
      <c r="B130" s="45" t="s">
        <v>32</v>
      </c>
      <c r="C130" s="45" t="s">
        <v>7</v>
      </c>
      <c r="D130" s="45">
        <v>10.0</v>
      </c>
      <c r="E130" s="46">
        <f>if(ISNA(vlookup($A130, ESPN!$B$2:$E$281, 4, false)), 0, vlookup($A130, ESPN!$B$2:$E$281, 4, false))</f>
        <v>1</v>
      </c>
      <c r="F130" s="46">
        <f>if(ISNA(vlookup($A130, Scout.com!$B$2:$E$239, 4, false)), 0, vlookup($A130, Scout.com!$B$2:$E$239, 4, false))</f>
        <v>0</v>
      </c>
      <c r="G130" s="46">
        <f>if(ISNA(vlookup($A130, FantasyPro!$B$2:$E$318, 4, false)), 0, vlookup($A130, FantasyPro!$B$2:$E$318, 4, false))</f>
        <v>2</v>
      </c>
      <c r="H130" s="46">
        <f>if(ISNA(vlookup($A130, RotoWire!$B$2:$E$681, 4, false)), 0, vlookup($A130, RotoWire!$B$2:$E$681, 4, false))</f>
        <v>5</v>
      </c>
      <c r="I130" s="47">
        <f t="shared" si="1"/>
        <v>2</v>
      </c>
      <c r="J130" s="47">
        <f t="shared" si="2"/>
        <v>5</v>
      </c>
    </row>
    <row r="131">
      <c r="A131" s="44" t="s">
        <v>182</v>
      </c>
      <c r="B131" s="45" t="s">
        <v>83</v>
      </c>
      <c r="C131" s="45" t="s">
        <v>97</v>
      </c>
      <c r="D131" s="45">
        <v>8.0</v>
      </c>
      <c r="E131" s="46">
        <f>if(ISNA(vlookup($A131, ESPN!$B$2:$E$281, 4, false)), 0, vlookup($A131, ESPN!$B$2:$E$281, 4, false))</f>
        <v>1</v>
      </c>
      <c r="F131" s="46">
        <f>if(ISNA(vlookup($A131, Scout.com!$B$2:$E$239, 4, false)), 0, vlookup($A131, Scout.com!$B$2:$E$239, 4, false))</f>
        <v>6</v>
      </c>
      <c r="G131" s="46">
        <f>if(ISNA(vlookup($A131, FantasyPro!$B$2:$E$318, 4, false)), 0, vlookup($A131, FantasyPro!$B$2:$E$318, 4, false))</f>
        <v>1</v>
      </c>
      <c r="H131" s="46">
        <f>if(ISNA(vlookup($A131, RotoWire!$B$2:$E$681, 4, false)), 0, vlookup($A131, RotoWire!$B$2:$E$681, 4, false))</f>
        <v>0</v>
      </c>
      <c r="I131" s="47">
        <f t="shared" si="1"/>
        <v>2</v>
      </c>
      <c r="J131" s="47">
        <f t="shared" si="2"/>
        <v>6</v>
      </c>
    </row>
    <row r="132">
      <c r="A132" s="44" t="s">
        <v>181</v>
      </c>
      <c r="B132" s="45" t="s">
        <v>123</v>
      </c>
      <c r="C132" s="45" t="s">
        <v>97</v>
      </c>
      <c r="D132" s="45">
        <v>4.0</v>
      </c>
      <c r="E132" s="46">
        <f>if(ISNA(vlookup($A132, ESPN!$B$2:$E$281, 4, false)), 0, vlookup($A132, ESPN!$B$2:$E$281, 4, false))</f>
        <v>1</v>
      </c>
      <c r="F132" s="46">
        <f>if(ISNA(vlookup($A132, Scout.com!$B$2:$E$239, 4, false)), 0, vlookup($A132, Scout.com!$B$2:$E$239, 4, false))</f>
        <v>4</v>
      </c>
      <c r="G132" s="46">
        <f>if(ISNA(vlookup($A132, FantasyPro!$B$2:$E$318, 4, false)), 0, vlookup($A132, FantasyPro!$B$2:$E$318, 4, false))</f>
        <v>2</v>
      </c>
      <c r="H132" s="46">
        <f>if(ISNA(vlookup($A132, RotoWire!$B$2:$E$681, 4, false)), 0, vlookup($A132, RotoWire!$B$2:$E$681, 4, false))</f>
        <v>0</v>
      </c>
      <c r="I132" s="47">
        <f t="shared" si="1"/>
        <v>1.75</v>
      </c>
      <c r="J132" s="47">
        <f t="shared" si="2"/>
        <v>4</v>
      </c>
    </row>
    <row r="133">
      <c r="A133" s="44" t="s">
        <v>205</v>
      </c>
      <c r="B133" s="45" t="s">
        <v>13</v>
      </c>
      <c r="C133" s="45" t="s">
        <v>97</v>
      </c>
      <c r="D133" s="45">
        <v>8.0</v>
      </c>
      <c r="E133" s="46">
        <f>if(ISNA(vlookup($A133, ESPN!$B$2:$E$281, 4, false)), 0, vlookup($A133, ESPN!$B$2:$E$281, 4, false))</f>
        <v>0</v>
      </c>
      <c r="F133" s="46">
        <f>if(ISNA(vlookup($A133, Scout.com!$B$2:$E$239, 4, false)), 0, vlookup($A133, Scout.com!$B$2:$E$239, 4, false))</f>
        <v>6</v>
      </c>
      <c r="G133" s="46">
        <f>if(ISNA(vlookup($A133, FantasyPro!$B$2:$E$318, 4, false)), 0, vlookup($A133, FantasyPro!$B$2:$E$318, 4, false))</f>
        <v>1</v>
      </c>
      <c r="H133" s="46">
        <f>if(ISNA(vlookup($A133, RotoWire!$B$2:$E$681, 4, false)), 0, vlookup($A133, RotoWire!$B$2:$E$681, 4, false))</f>
        <v>0</v>
      </c>
      <c r="I133" s="47">
        <f t="shared" si="1"/>
        <v>1.75</v>
      </c>
      <c r="J133" s="47">
        <f t="shared" si="2"/>
        <v>6</v>
      </c>
    </row>
    <row r="134">
      <c r="A134" s="44" t="s">
        <v>121</v>
      </c>
      <c r="B134" s="45" t="s">
        <v>70</v>
      </c>
      <c r="C134" s="45" t="s">
        <v>17</v>
      </c>
      <c r="D134" s="45">
        <v>11.0</v>
      </c>
      <c r="E134" s="46">
        <f>if(ISNA(vlookup($A134, ESPN!$B$2:$E$281, 4, false)), 0, vlookup($A134, ESPN!$B$2:$E$281, 4, false))</f>
        <v>2</v>
      </c>
      <c r="F134" s="46">
        <f>if(ISNA(vlookup($A134, Scout.com!$B$2:$E$239, 4, false)), 0, vlookup($A134, Scout.com!$B$2:$E$239, 4, false))</f>
        <v>0</v>
      </c>
      <c r="G134" s="46">
        <f>if(ISNA(vlookup($A134, FantasyPro!$B$2:$E$318, 4, false)), 0, vlookup($A134, FantasyPro!$B$2:$E$318, 4, false))</f>
        <v>3</v>
      </c>
      <c r="H134" s="46">
        <f>if(ISNA(vlookup($A134, RotoWire!$B$2:$E$681, 4, false)), 0, vlookup($A134, RotoWire!$B$2:$E$681, 4, false))</f>
        <v>2</v>
      </c>
      <c r="I134" s="47">
        <f t="shared" si="1"/>
        <v>1.75</v>
      </c>
      <c r="J134" s="47">
        <f t="shared" si="2"/>
        <v>3</v>
      </c>
    </row>
    <row r="135">
      <c r="A135" s="44" t="s">
        <v>144</v>
      </c>
      <c r="B135" s="45" t="s">
        <v>77</v>
      </c>
      <c r="C135" s="45" t="s">
        <v>17</v>
      </c>
      <c r="D135" s="45">
        <v>6.0</v>
      </c>
      <c r="E135" s="46">
        <f>if(ISNA(vlookup($A135, ESPN!$B$2:$E$281, 4, false)), 0, vlookup($A135, ESPN!$B$2:$E$281, 4, false))</f>
        <v>1</v>
      </c>
      <c r="F135" s="46">
        <f>if(ISNA(vlookup($A135, Scout.com!$B$2:$E$239, 4, false)), 0, vlookup($A135, Scout.com!$B$2:$E$239, 4, false))</f>
        <v>0</v>
      </c>
      <c r="G135" s="46">
        <f>if(ISNA(vlookup($A135, FantasyPro!$B$2:$E$318, 4, false)), 0, vlookup($A135, FantasyPro!$B$2:$E$318, 4, false))</f>
        <v>3</v>
      </c>
      <c r="H135" s="46">
        <f>if(ISNA(vlookup($A135, RotoWire!$B$2:$E$681, 4, false)), 0, vlookup($A135, RotoWire!$B$2:$E$681, 4, false))</f>
        <v>3</v>
      </c>
      <c r="I135" s="47">
        <f t="shared" si="1"/>
        <v>1.75</v>
      </c>
      <c r="J135" s="47">
        <f t="shared" si="2"/>
        <v>3</v>
      </c>
    </row>
    <row r="136">
      <c r="A136" s="44" t="s">
        <v>214</v>
      </c>
      <c r="B136" s="45" t="s">
        <v>9</v>
      </c>
      <c r="C136" s="45" t="s">
        <v>199</v>
      </c>
      <c r="D136" s="45">
        <v>12.0</v>
      </c>
      <c r="E136" s="46">
        <f>if(ISNA(vlookup($A136, ESPN!$B$2:$E$281, 4, false)), 0, vlookup($A136, ESPN!$B$2:$E$281, 4, false))</f>
        <v>1</v>
      </c>
      <c r="F136" s="46">
        <f>if(ISNA(vlookup($A136, Scout.com!$B$2:$E$239, 4, false)), 0, vlookup($A136, Scout.com!$B$2:$E$239, 4, false))</f>
        <v>3</v>
      </c>
      <c r="G136" s="46">
        <f>if(ISNA(vlookup($A136, FantasyPro!$B$2:$E$318, 4, false)), 0, vlookup($A136, FantasyPro!$B$2:$E$318, 4, false))</f>
        <v>1</v>
      </c>
      <c r="H136" s="46">
        <f>if(ISNA(vlookup($A136, RotoWire!$B$2:$E$681, 4, false)), 0, vlookup($A136, RotoWire!$B$2:$E$681, 4, false))</f>
        <v>2</v>
      </c>
      <c r="I136" s="47">
        <f t="shared" si="1"/>
        <v>1.75</v>
      </c>
      <c r="J136" s="47">
        <f t="shared" si="2"/>
        <v>2</v>
      </c>
    </row>
    <row r="137">
      <c r="A137" s="44" t="s">
        <v>196</v>
      </c>
      <c r="B137" s="45" t="s">
        <v>72</v>
      </c>
      <c r="C137" s="45" t="s">
        <v>7</v>
      </c>
      <c r="D137" s="45">
        <v>11.0</v>
      </c>
      <c r="E137" s="46">
        <f>if(ISNA(vlookup($A137, ESPN!$B$2:$E$281, 4, false)), 0, vlookup($A137, ESPN!$B$2:$E$281, 4, false))</f>
        <v>0</v>
      </c>
      <c r="F137" s="46">
        <f>if(ISNA(vlookup($A137, Scout.com!$B$2:$E$239, 4, false)), 0, vlookup($A137, Scout.com!$B$2:$E$239, 4, false))</f>
        <v>0</v>
      </c>
      <c r="G137" s="46">
        <f>if(ISNA(vlookup($A137, FantasyPro!$B$2:$E$318, 4, false)), 0, vlookup($A137, FantasyPro!$B$2:$E$318, 4, false))</f>
        <v>2</v>
      </c>
      <c r="H137" s="46">
        <f>if(ISNA(vlookup($A137, RotoWire!$B$2:$E$681, 4, false)), 0, vlookup($A137, RotoWire!$B$2:$E$681, 4, false))</f>
        <v>5</v>
      </c>
      <c r="I137" s="47">
        <f t="shared" si="1"/>
        <v>1.75</v>
      </c>
      <c r="J137" s="47">
        <f t="shared" si="2"/>
        <v>5</v>
      </c>
    </row>
    <row r="138">
      <c r="A138" s="44" t="s">
        <v>167</v>
      </c>
      <c r="B138" s="45" t="s">
        <v>13</v>
      </c>
      <c r="C138" s="45" t="s">
        <v>17</v>
      </c>
      <c r="D138" s="45">
        <v>8.0</v>
      </c>
      <c r="E138" s="46">
        <f>if(ISNA(vlookup($A138, ESPN!$B$2:$E$281, 4, false)), 0, vlookup($A138, ESPN!$B$2:$E$281, 4, false))</f>
        <v>1</v>
      </c>
      <c r="F138" s="46">
        <f>if(ISNA(vlookup($A138, Scout.com!$B$2:$E$239, 4, false)), 0, vlookup($A138, Scout.com!$B$2:$E$239, 4, false))</f>
        <v>5</v>
      </c>
      <c r="G138" s="46">
        <f>if(ISNA(vlookup($A138, FantasyPro!$B$2:$E$318, 4, false)), 0, vlookup($A138, FantasyPro!$B$2:$E$318, 4, false))</f>
        <v>0</v>
      </c>
      <c r="H138" s="46">
        <f>if(ISNA(vlookup($A138, RotoWire!$B$2:$E$681, 4, false)), 0, vlookup($A138, RotoWire!$B$2:$E$681, 4, false))</f>
        <v>1</v>
      </c>
      <c r="I138" s="47">
        <f t="shared" si="1"/>
        <v>1.75</v>
      </c>
      <c r="J138" s="47">
        <f t="shared" si="2"/>
        <v>5</v>
      </c>
    </row>
    <row r="139">
      <c r="A139" s="44" t="s">
        <v>316</v>
      </c>
      <c r="B139" s="45" t="s">
        <v>95</v>
      </c>
      <c r="C139" s="45" t="s">
        <v>97</v>
      </c>
      <c r="D139" s="45">
        <v>11.0</v>
      </c>
      <c r="E139" s="46">
        <f>if(ISNA(vlookup($A139, ESPN!$B$2:$E$281, 4, false)), 0, vlookup($A139, ESPN!$B$2:$E$281, 4, false))</f>
        <v>0</v>
      </c>
      <c r="F139" s="46">
        <f>if(ISNA(vlookup($A139, Scout.com!$B$2:$E$239, 4, false)), 0, vlookup($A139, Scout.com!$B$2:$E$239, 4, false))</f>
        <v>7</v>
      </c>
      <c r="G139" s="46">
        <f>if(ISNA(vlookup($A139, FantasyPro!$B$2:$E$318, 4, false)), 0, vlookup($A139, FantasyPro!$B$2:$E$318, 4, false))</f>
        <v>0</v>
      </c>
      <c r="H139" s="46">
        <f>if(ISNA(vlookup($A139, RotoWire!$B$2:$E$681, 4, false)), 0, vlookup($A139, RotoWire!$B$2:$E$681, 4, false))</f>
        <v>0</v>
      </c>
      <c r="I139" s="47">
        <f t="shared" si="1"/>
        <v>1.75</v>
      </c>
      <c r="J139" s="47">
        <f t="shared" si="2"/>
        <v>7</v>
      </c>
    </row>
    <row r="140">
      <c r="A140" s="44" t="s">
        <v>190</v>
      </c>
      <c r="B140" s="45" t="s">
        <v>77</v>
      </c>
      <c r="C140" s="45" t="s">
        <v>7</v>
      </c>
      <c r="D140" s="45">
        <v>6.0</v>
      </c>
      <c r="E140" s="46">
        <f>if(ISNA(vlookup($A140, ESPN!$B$2:$E$281, 4, false)), 0, vlookup($A140, ESPN!$B$2:$E$281, 4, false))</f>
        <v>0</v>
      </c>
      <c r="F140" s="46">
        <f>if(ISNA(vlookup($A140, Scout.com!$B$2:$E$239, 4, false)), 0, vlookup($A140, Scout.com!$B$2:$E$239, 4, false))</f>
        <v>0</v>
      </c>
      <c r="G140" s="46">
        <f>if(ISNA(vlookup($A140, FantasyPro!$B$2:$E$318, 4, false)), 0, vlookup($A140, FantasyPro!$B$2:$E$318, 4, false))</f>
        <v>2</v>
      </c>
      <c r="H140" s="46">
        <f>if(ISNA(vlookup($A140, RotoWire!$B$2:$E$681, 4, false)), 0, vlookup($A140, RotoWire!$B$2:$E$681, 4, false))</f>
        <v>5</v>
      </c>
      <c r="I140" s="47">
        <f t="shared" si="1"/>
        <v>1.75</v>
      </c>
      <c r="J140" s="47">
        <f t="shared" si="2"/>
        <v>5</v>
      </c>
    </row>
    <row r="141">
      <c r="A141" s="44" t="s">
        <v>152</v>
      </c>
      <c r="B141" s="45" t="s">
        <v>51</v>
      </c>
      <c r="C141" s="45" t="s">
        <v>43</v>
      </c>
      <c r="D141" s="45">
        <v>5.0</v>
      </c>
      <c r="E141" s="46">
        <f>if(ISNA(vlookup($A141, ESPN!$B$2:$E$281, 4, false)), 0, vlookup($A141, ESPN!$B$2:$E$281, 4, false))</f>
        <v>1</v>
      </c>
      <c r="F141" s="46">
        <f>if(ISNA(vlookup($A141, Scout.com!$B$2:$E$239, 4, false)), 0, vlookup($A141, Scout.com!$B$2:$E$239, 4, false))</f>
        <v>4</v>
      </c>
      <c r="G141" s="46">
        <f>if(ISNA(vlookup($A141, FantasyPro!$B$2:$E$318, 4, false)), 0, vlookup($A141, FantasyPro!$B$2:$E$318, 4, false))</f>
        <v>2</v>
      </c>
      <c r="H141" s="46">
        <f>if(ISNA(vlookup($A141, RotoWire!$B$2:$E$681, 4, false)), 0, vlookup($A141, RotoWire!$B$2:$E$681, 4, false))</f>
        <v>0</v>
      </c>
      <c r="I141" s="47">
        <f t="shared" si="1"/>
        <v>1.75</v>
      </c>
      <c r="J141" s="47">
        <f t="shared" si="2"/>
        <v>4</v>
      </c>
    </row>
    <row r="142">
      <c r="A142" s="44" t="s">
        <v>146</v>
      </c>
      <c r="B142" s="45" t="s">
        <v>13</v>
      </c>
      <c r="C142" s="45" t="s">
        <v>17</v>
      </c>
      <c r="D142" s="45">
        <v>8.0</v>
      </c>
      <c r="E142" s="46">
        <f>if(ISNA(vlookup($A142, ESPN!$B$2:$E$281, 4, false)), 0, vlookup($A142, ESPN!$B$2:$E$281, 4, false))</f>
        <v>1</v>
      </c>
      <c r="F142" s="46">
        <f>if(ISNA(vlookup($A142, Scout.com!$B$2:$E$239, 4, false)), 0, vlookup($A142, Scout.com!$B$2:$E$239, 4, false))</f>
        <v>3</v>
      </c>
      <c r="G142" s="46">
        <f>if(ISNA(vlookup($A142, FantasyPro!$B$2:$E$318, 4, false)), 0, vlookup($A142, FantasyPro!$B$2:$E$318, 4, false))</f>
        <v>2</v>
      </c>
      <c r="H142" s="46">
        <f>if(ISNA(vlookup($A142, RotoWire!$B$2:$E$681, 4, false)), 0, vlookup($A142, RotoWire!$B$2:$E$681, 4, false))</f>
        <v>0</v>
      </c>
      <c r="I142" s="47">
        <f t="shared" si="1"/>
        <v>1.5</v>
      </c>
      <c r="J142" s="47">
        <f t="shared" si="2"/>
        <v>3</v>
      </c>
    </row>
    <row r="143">
      <c r="A143" s="44" t="s">
        <v>217</v>
      </c>
      <c r="B143" s="45" t="s">
        <v>88</v>
      </c>
      <c r="C143" s="45" t="s">
        <v>199</v>
      </c>
      <c r="D143" s="45">
        <v>10.0</v>
      </c>
      <c r="E143" s="46">
        <f>if(ISNA(vlookup($A143, ESPN!$B$2:$E$281, 4, false)), 0, vlookup($A143, ESPN!$B$2:$E$281, 4, false))</f>
        <v>1</v>
      </c>
      <c r="F143" s="46">
        <f>if(ISNA(vlookup($A143, Scout.com!$B$2:$E$239, 4, false)), 0, vlookup($A143, Scout.com!$B$2:$E$239, 4, false))</f>
        <v>2</v>
      </c>
      <c r="G143" s="46">
        <f>if(ISNA(vlookup($A143, FantasyPro!$B$2:$E$318, 4, false)), 0, vlookup($A143, FantasyPro!$B$2:$E$318, 4, false))</f>
        <v>1</v>
      </c>
      <c r="H143" s="46">
        <f>if(ISNA(vlookup($A143, RotoWire!$B$2:$E$681, 4, false)), 0, vlookup($A143, RotoWire!$B$2:$E$681, 4, false))</f>
        <v>2</v>
      </c>
      <c r="I143" s="47">
        <f t="shared" si="1"/>
        <v>1.5</v>
      </c>
      <c r="J143" s="47">
        <f t="shared" si="2"/>
        <v>1</v>
      </c>
    </row>
    <row r="144">
      <c r="A144" s="44" t="s">
        <v>151</v>
      </c>
      <c r="B144" s="45" t="s">
        <v>67</v>
      </c>
      <c r="C144" s="45" t="s">
        <v>43</v>
      </c>
      <c r="D144" s="45">
        <v>11.0</v>
      </c>
      <c r="E144" s="46">
        <f>if(ISNA(vlookup($A144, ESPN!$B$2:$E$281, 4, false)), 0, vlookup($A144, ESPN!$B$2:$E$281, 4, false))</f>
        <v>1</v>
      </c>
      <c r="F144" s="46">
        <f>if(ISNA(vlookup($A144, Scout.com!$B$2:$E$239, 4, false)), 0, vlookup($A144, Scout.com!$B$2:$E$239, 4, false))</f>
        <v>3</v>
      </c>
      <c r="G144" s="46">
        <f>if(ISNA(vlookup($A144, FantasyPro!$B$2:$E$318, 4, false)), 0, vlookup($A144, FantasyPro!$B$2:$E$318, 4, false))</f>
        <v>2</v>
      </c>
      <c r="H144" s="46">
        <f>if(ISNA(vlookup($A144, RotoWire!$B$2:$E$681, 4, false)), 0, vlookup($A144, RotoWire!$B$2:$E$681, 4, false))</f>
        <v>0</v>
      </c>
      <c r="I144" s="47">
        <f t="shared" si="1"/>
        <v>1.5</v>
      </c>
      <c r="J144" s="47">
        <f t="shared" si="2"/>
        <v>3</v>
      </c>
    </row>
    <row r="145">
      <c r="A145" s="44" t="s">
        <v>224</v>
      </c>
      <c r="B145" s="45" t="s">
        <v>63</v>
      </c>
      <c r="C145" s="45" t="s">
        <v>199</v>
      </c>
      <c r="D145" s="45">
        <v>10.0</v>
      </c>
      <c r="E145" s="46">
        <f>if(ISNA(vlookup($A145, ESPN!$B$2:$E$281, 4, false)), 0, vlookup($A145, ESPN!$B$2:$E$281, 4, false))</f>
        <v>1</v>
      </c>
      <c r="F145" s="46">
        <f>if(ISNA(vlookup($A145, Scout.com!$B$2:$E$239, 4, false)), 0, vlookup($A145, Scout.com!$B$2:$E$239, 4, false))</f>
        <v>2</v>
      </c>
      <c r="G145" s="46">
        <f>if(ISNA(vlookup($A145, FantasyPro!$B$2:$E$318, 4, false)), 0, vlookup($A145, FantasyPro!$B$2:$E$318, 4, false))</f>
        <v>1</v>
      </c>
      <c r="H145" s="46">
        <f>if(ISNA(vlookup($A145, RotoWire!$B$2:$E$681, 4, false)), 0, vlookup($A145, RotoWire!$B$2:$E$681, 4, false))</f>
        <v>2</v>
      </c>
      <c r="I145" s="47">
        <f t="shared" si="1"/>
        <v>1.5</v>
      </c>
      <c r="J145" s="47">
        <f t="shared" si="2"/>
        <v>1</v>
      </c>
    </row>
    <row r="146">
      <c r="A146" s="44" t="s">
        <v>165</v>
      </c>
      <c r="B146" s="45" t="s">
        <v>49</v>
      </c>
      <c r="C146" s="45" t="s">
        <v>17</v>
      </c>
      <c r="D146" s="45">
        <v>5.0</v>
      </c>
      <c r="E146" s="46">
        <f>if(ISNA(vlookup($A146, ESPN!$B$2:$E$281, 4, false)), 0, vlookup($A146, ESPN!$B$2:$E$281, 4, false))</f>
        <v>1</v>
      </c>
      <c r="F146" s="46">
        <f>if(ISNA(vlookup($A146, Scout.com!$B$2:$E$239, 4, false)), 0, vlookup($A146, Scout.com!$B$2:$E$239, 4, false))</f>
        <v>0</v>
      </c>
      <c r="G146" s="46">
        <f>if(ISNA(vlookup($A146, FantasyPro!$B$2:$E$318, 4, false)), 0, vlookup($A146, FantasyPro!$B$2:$E$318, 4, false))</f>
        <v>2</v>
      </c>
      <c r="H146" s="46">
        <f>if(ISNA(vlookup($A146, RotoWire!$B$2:$E$681, 4, false)), 0, vlookup($A146, RotoWire!$B$2:$E$681, 4, false))</f>
        <v>3</v>
      </c>
      <c r="I146" s="47">
        <f t="shared" si="1"/>
        <v>1.5</v>
      </c>
      <c r="J146" s="47">
        <f t="shared" si="2"/>
        <v>3</v>
      </c>
    </row>
    <row r="147">
      <c r="A147" s="44" t="s">
        <v>197</v>
      </c>
      <c r="B147" s="45" t="s">
        <v>77</v>
      </c>
      <c r="C147" s="45" t="s">
        <v>7</v>
      </c>
      <c r="D147" s="45">
        <v>6.0</v>
      </c>
      <c r="E147" s="46">
        <f>if(ISNA(vlookup($A147, ESPN!$B$2:$E$281, 4, false)), 0, vlookup($A147, ESPN!$B$2:$E$281, 4, false))</f>
        <v>0</v>
      </c>
      <c r="F147" s="46">
        <f>if(ISNA(vlookup($A147, Scout.com!$B$2:$E$239, 4, false)), 0, vlookup($A147, Scout.com!$B$2:$E$239, 4, false))</f>
        <v>0</v>
      </c>
      <c r="G147" s="46">
        <f>if(ISNA(vlookup($A147, FantasyPro!$B$2:$E$318, 4, false)), 0, vlookup($A147, FantasyPro!$B$2:$E$318, 4, false))</f>
        <v>1</v>
      </c>
      <c r="H147" s="46">
        <f>if(ISNA(vlookup($A147, RotoWire!$B$2:$E$681, 4, false)), 0, vlookup($A147, RotoWire!$B$2:$E$681, 4, false))</f>
        <v>5</v>
      </c>
      <c r="I147" s="47">
        <f t="shared" si="1"/>
        <v>1.5</v>
      </c>
      <c r="J147" s="47">
        <f t="shared" si="2"/>
        <v>5</v>
      </c>
    </row>
    <row r="148">
      <c r="A148" s="44" t="s">
        <v>215</v>
      </c>
      <c r="B148" s="45" t="s">
        <v>32</v>
      </c>
      <c r="C148" s="45" t="s">
        <v>199</v>
      </c>
      <c r="D148" s="45">
        <v>10.0</v>
      </c>
      <c r="E148" s="46">
        <f>if(ISNA(vlookup($A148, ESPN!$B$2:$E$281, 4, false)), 0, vlookup($A148, ESPN!$B$2:$E$281, 4, false))</f>
        <v>1</v>
      </c>
      <c r="F148" s="46">
        <f>if(ISNA(vlookup($A148, Scout.com!$B$2:$E$239, 4, false)), 0, vlookup($A148, Scout.com!$B$2:$E$239, 4, false))</f>
        <v>2</v>
      </c>
      <c r="G148" s="46">
        <f>if(ISNA(vlookup($A148, FantasyPro!$B$2:$E$318, 4, false)), 0, vlookup($A148, FantasyPro!$B$2:$E$318, 4, false))</f>
        <v>1</v>
      </c>
      <c r="H148" s="46">
        <f>if(ISNA(vlookup($A148, RotoWire!$B$2:$E$681, 4, false)), 0, vlookup($A148, RotoWire!$B$2:$E$681, 4, false))</f>
        <v>2</v>
      </c>
      <c r="I148" s="47">
        <f t="shared" si="1"/>
        <v>1.5</v>
      </c>
      <c r="J148" s="47">
        <f t="shared" si="2"/>
        <v>1</v>
      </c>
    </row>
    <row r="149">
      <c r="A149" s="44" t="s">
        <v>147</v>
      </c>
      <c r="B149" s="45" t="s">
        <v>65</v>
      </c>
      <c r="C149" s="45" t="s">
        <v>17</v>
      </c>
      <c r="D149" s="45">
        <v>7.0</v>
      </c>
      <c r="E149" s="46">
        <f>if(ISNA(vlookup($A149, ESPN!$B$2:$E$281, 4, false)), 0, vlookup($A149, ESPN!$B$2:$E$281, 4, false))</f>
        <v>1</v>
      </c>
      <c r="F149" s="46">
        <f>if(ISNA(vlookup($A149, Scout.com!$B$2:$E$239, 4, false)), 0, vlookup($A149, Scout.com!$B$2:$E$239, 4, false))</f>
        <v>0</v>
      </c>
      <c r="G149" s="46">
        <f>if(ISNA(vlookup($A149, FantasyPro!$B$2:$E$318, 4, false)), 0, vlookup($A149, FantasyPro!$B$2:$E$318, 4, false))</f>
        <v>1</v>
      </c>
      <c r="H149" s="46">
        <f>if(ISNA(vlookup($A149, RotoWire!$B$2:$E$681, 4, false)), 0, vlookup($A149, RotoWire!$B$2:$E$681, 4, false))</f>
        <v>4</v>
      </c>
      <c r="I149" s="47">
        <f t="shared" si="1"/>
        <v>1.5</v>
      </c>
      <c r="J149" s="47">
        <f t="shared" si="2"/>
        <v>4</v>
      </c>
    </row>
    <row r="150">
      <c r="A150" s="44" t="s">
        <v>186</v>
      </c>
      <c r="B150" s="45" t="s">
        <v>63</v>
      </c>
      <c r="C150" s="45" t="s">
        <v>17</v>
      </c>
      <c r="D150" s="45">
        <v>10.0</v>
      </c>
      <c r="E150" s="46">
        <f>if(ISNA(vlookup($A150, ESPN!$B$2:$E$281, 4, false)), 0, vlookup($A150, ESPN!$B$2:$E$281, 4, false))</f>
        <v>0</v>
      </c>
      <c r="F150" s="46">
        <f>if(ISNA(vlookup($A150, Scout.com!$B$2:$E$239, 4, false)), 0, vlookup($A150, Scout.com!$B$2:$E$239, 4, false))</f>
        <v>5</v>
      </c>
      <c r="G150" s="46">
        <f>if(ISNA(vlookup($A150, FantasyPro!$B$2:$E$318, 4, false)), 0, vlookup($A150, FantasyPro!$B$2:$E$318, 4, false))</f>
        <v>0</v>
      </c>
      <c r="H150" s="46">
        <f>if(ISNA(vlookup($A150, RotoWire!$B$2:$E$681, 4, false)), 0, vlookup($A150, RotoWire!$B$2:$E$681, 4, false))</f>
        <v>0</v>
      </c>
      <c r="I150" s="47">
        <f t="shared" si="1"/>
        <v>1.25</v>
      </c>
      <c r="J150" s="47">
        <f t="shared" si="2"/>
        <v>5</v>
      </c>
    </row>
    <row r="151">
      <c r="A151" s="44" t="s">
        <v>171</v>
      </c>
      <c r="B151" s="45" t="s">
        <v>172</v>
      </c>
      <c r="C151" s="45" t="s">
        <v>17</v>
      </c>
      <c r="D151" s="49"/>
      <c r="E151" s="46">
        <f>if(ISNA(vlookup($A151, ESPN!$B$2:$E$281, 4, false)), 0, vlookup($A151, ESPN!$B$2:$E$281, 4, false))</f>
        <v>1</v>
      </c>
      <c r="F151" s="46">
        <f>if(ISNA(vlookup($A151, Scout.com!$B$2:$E$239, 4, false)), 0, vlookup($A151, Scout.com!$B$2:$E$239, 4, false))</f>
        <v>3</v>
      </c>
      <c r="G151" s="46">
        <f>if(ISNA(vlookup($A151, FantasyPro!$B$2:$E$318, 4, false)), 0, vlookup($A151, FantasyPro!$B$2:$E$318, 4, false))</f>
        <v>0</v>
      </c>
      <c r="H151" s="46">
        <f>if(ISNA(vlookup($A151, RotoWire!$B$2:$E$681, 4, false)), 0, vlookup($A151, RotoWire!$B$2:$E$681, 4, false))</f>
        <v>1</v>
      </c>
      <c r="I151" s="47">
        <f t="shared" si="1"/>
        <v>1.25</v>
      </c>
      <c r="J151" s="47">
        <f t="shared" si="2"/>
        <v>3</v>
      </c>
    </row>
    <row r="152">
      <c r="A152" s="44" t="s">
        <v>200</v>
      </c>
      <c r="B152" s="45" t="s">
        <v>72</v>
      </c>
      <c r="C152" s="45" t="s">
        <v>43</v>
      </c>
      <c r="D152" s="45">
        <v>11.0</v>
      </c>
      <c r="E152" s="46">
        <f>if(ISNA(vlookup($A152, ESPN!$B$2:$E$281, 4, false)), 0, vlookup($A152, ESPN!$B$2:$E$281, 4, false))</f>
        <v>0</v>
      </c>
      <c r="F152" s="46">
        <f>if(ISNA(vlookup($A152, Scout.com!$B$2:$E$239, 4, false)), 0, vlookup($A152, Scout.com!$B$2:$E$239, 4, false))</f>
        <v>3</v>
      </c>
      <c r="G152" s="46">
        <f>if(ISNA(vlookup($A152, FantasyPro!$B$2:$E$318, 4, false)), 0, vlookup($A152, FantasyPro!$B$2:$E$318, 4, false))</f>
        <v>2</v>
      </c>
      <c r="H152" s="46">
        <f>if(ISNA(vlookup($A152, RotoWire!$B$2:$E$681, 4, false)), 0, vlookup($A152, RotoWire!$B$2:$E$681, 4, false))</f>
        <v>0</v>
      </c>
      <c r="I152" s="47">
        <f t="shared" si="1"/>
        <v>1.25</v>
      </c>
      <c r="J152" s="47">
        <f t="shared" si="2"/>
        <v>3</v>
      </c>
    </row>
    <row r="153">
      <c r="A153" s="44" t="s">
        <v>287</v>
      </c>
      <c r="B153" s="45" t="s">
        <v>49</v>
      </c>
      <c r="C153" s="45" t="s">
        <v>97</v>
      </c>
      <c r="D153" s="45">
        <v>5.0</v>
      </c>
      <c r="E153" s="46">
        <f>if(ISNA(vlookup($A153, ESPN!$B$2:$E$281, 4, false)), 0, vlookup($A153, ESPN!$B$2:$E$281, 4, false))</f>
        <v>0</v>
      </c>
      <c r="F153" s="46">
        <f>if(ISNA(vlookup($A153, Scout.com!$B$2:$E$239, 4, false)), 0, vlookup($A153, Scout.com!$B$2:$E$239, 4, false))</f>
        <v>5</v>
      </c>
      <c r="G153" s="46">
        <f>if(ISNA(vlookup($A153, FantasyPro!$B$2:$E$318, 4, false)), 0, vlookup($A153, FantasyPro!$B$2:$E$318, 4, false))</f>
        <v>0</v>
      </c>
      <c r="H153" s="46">
        <f>if(ISNA(vlookup($A153, RotoWire!$B$2:$E$681, 4, false)), 0, vlookup($A153, RotoWire!$B$2:$E$681, 4, false))</f>
        <v>0</v>
      </c>
      <c r="I153" s="47">
        <f t="shared" si="1"/>
        <v>1.25</v>
      </c>
      <c r="J153" s="47">
        <f t="shared" si="2"/>
        <v>5</v>
      </c>
    </row>
    <row r="154">
      <c r="A154" s="44" t="s">
        <v>184</v>
      </c>
      <c r="B154" s="45" t="s">
        <v>6</v>
      </c>
      <c r="C154" s="45" t="s">
        <v>17</v>
      </c>
      <c r="D154" s="45">
        <v>7.0</v>
      </c>
      <c r="E154" s="46">
        <f>if(ISNA(vlookup($A154, ESPN!$B$2:$E$281, 4, false)), 0, vlookup($A154, ESPN!$B$2:$E$281, 4, false))</f>
        <v>0</v>
      </c>
      <c r="F154" s="46">
        <f>if(ISNA(vlookup($A154, Scout.com!$B$2:$E$239, 4, false)), 0, vlookup($A154, Scout.com!$B$2:$E$239, 4, false))</f>
        <v>4</v>
      </c>
      <c r="G154" s="46">
        <f>if(ISNA(vlookup($A154, FantasyPro!$B$2:$E$318, 4, false)), 0, vlookup($A154, FantasyPro!$B$2:$E$318, 4, false))</f>
        <v>0</v>
      </c>
      <c r="H154" s="46">
        <f>if(ISNA(vlookup($A154, RotoWire!$B$2:$E$681, 4, false)), 0, vlookup($A154, RotoWire!$B$2:$E$681, 4, false))</f>
        <v>1</v>
      </c>
      <c r="I154" s="47">
        <f t="shared" si="1"/>
        <v>1.25</v>
      </c>
      <c r="J154" s="47">
        <f t="shared" si="2"/>
        <v>4</v>
      </c>
    </row>
    <row r="155">
      <c r="A155" s="44" t="s">
        <v>173</v>
      </c>
      <c r="B155" s="45" t="s">
        <v>39</v>
      </c>
      <c r="C155" s="45" t="s">
        <v>17</v>
      </c>
      <c r="D155" s="45">
        <v>9.0</v>
      </c>
      <c r="E155" s="46">
        <f>if(ISNA(vlookup($A155, ESPN!$B$2:$E$281, 4, false)), 0, vlookup($A155, ESPN!$B$2:$E$281, 4, false))</f>
        <v>1</v>
      </c>
      <c r="F155" s="46">
        <f>if(ISNA(vlookup($A155, Scout.com!$B$2:$E$239, 4, false)), 0, vlookup($A155, Scout.com!$B$2:$E$239, 4, false))</f>
        <v>0</v>
      </c>
      <c r="G155" s="46">
        <f>if(ISNA(vlookup($A155, FantasyPro!$B$2:$E$318, 4, false)), 0, vlookup($A155, FantasyPro!$B$2:$E$318, 4, false))</f>
        <v>0</v>
      </c>
      <c r="H155" s="46">
        <f>if(ISNA(vlookup($A155, RotoWire!$B$2:$E$681, 4, false)), 0, vlookup($A155, RotoWire!$B$2:$E$681, 4, false))</f>
        <v>4</v>
      </c>
      <c r="I155" s="47">
        <f t="shared" si="1"/>
        <v>1.25</v>
      </c>
      <c r="J155" s="47">
        <f t="shared" si="2"/>
        <v>4</v>
      </c>
    </row>
    <row r="156">
      <c r="A156" s="44" t="s">
        <v>154</v>
      </c>
      <c r="B156" s="45" t="s">
        <v>53</v>
      </c>
      <c r="C156" s="45" t="s">
        <v>7</v>
      </c>
      <c r="D156" s="45">
        <v>9.0</v>
      </c>
      <c r="E156" s="46">
        <f>if(ISNA(vlookup($A156, ESPN!$B$2:$E$281, 4, false)), 0, vlookup($A156, ESPN!$B$2:$E$281, 4, false))</f>
        <v>1</v>
      </c>
      <c r="F156" s="46">
        <f>if(ISNA(vlookup($A156, Scout.com!$B$2:$E$239, 4, false)), 0, vlookup($A156, Scout.com!$B$2:$E$239, 4, false))</f>
        <v>0</v>
      </c>
      <c r="G156" s="46">
        <f>if(ISNA(vlookup($A156, FantasyPro!$B$2:$E$318, 4, false)), 0, vlookup($A156, FantasyPro!$B$2:$E$318, 4, false))</f>
        <v>0</v>
      </c>
      <c r="H156" s="46">
        <f>if(ISNA(vlookup($A156, RotoWire!$B$2:$E$681, 4, false)), 0, vlookup($A156, RotoWire!$B$2:$E$681, 4, false))</f>
        <v>4</v>
      </c>
      <c r="I156" s="47">
        <f t="shared" si="1"/>
        <v>1.25</v>
      </c>
      <c r="J156" s="47">
        <f t="shared" si="2"/>
        <v>4</v>
      </c>
    </row>
    <row r="157">
      <c r="A157" s="44" t="s">
        <v>211</v>
      </c>
      <c r="B157" s="45" t="s">
        <v>51</v>
      </c>
      <c r="C157" s="45" t="s">
        <v>97</v>
      </c>
      <c r="D157" s="45">
        <v>5.0</v>
      </c>
      <c r="E157" s="46">
        <f>if(ISNA(vlookup($A157, ESPN!$B$2:$E$281, 4, false)), 0, vlookup($A157, ESPN!$B$2:$E$281, 4, false))</f>
        <v>0</v>
      </c>
      <c r="F157" s="46">
        <f>if(ISNA(vlookup($A157, Scout.com!$B$2:$E$239, 4, false)), 0, vlookup($A157, Scout.com!$B$2:$E$239, 4, false))</f>
        <v>5</v>
      </c>
      <c r="G157" s="46">
        <f>if(ISNA(vlookup($A157, FantasyPro!$B$2:$E$318, 4, false)), 0, vlookup($A157, FantasyPro!$B$2:$E$318, 4, false))</f>
        <v>0</v>
      </c>
      <c r="H157" s="46">
        <f>if(ISNA(vlookup($A157, RotoWire!$B$2:$E$681, 4, false)), 0, vlookup($A157, RotoWire!$B$2:$E$681, 4, false))</f>
        <v>0</v>
      </c>
      <c r="I157" s="47">
        <f t="shared" si="1"/>
        <v>1.25</v>
      </c>
      <c r="J157" s="47">
        <f t="shared" si="2"/>
        <v>5</v>
      </c>
    </row>
    <row r="158">
      <c r="A158" s="44" t="s">
        <v>222</v>
      </c>
      <c r="B158" s="45" t="s">
        <v>15</v>
      </c>
      <c r="C158" s="45" t="s">
        <v>199</v>
      </c>
      <c r="D158" s="45">
        <v>11.0</v>
      </c>
      <c r="E158" s="46">
        <f>if(ISNA(vlookup($A158, ESPN!$B$2:$E$281, 4, false)), 0, vlookup($A158, ESPN!$B$2:$E$281, 4, false))</f>
        <v>1</v>
      </c>
      <c r="F158" s="46">
        <f>if(ISNA(vlookup($A158, Scout.com!$B$2:$E$239, 4, false)), 0, vlookup($A158, Scout.com!$B$2:$E$239, 4, false))</f>
        <v>3</v>
      </c>
      <c r="G158" s="46">
        <f>if(ISNA(vlookup($A158, FantasyPro!$B$2:$E$318, 4, false)), 0, vlookup($A158, FantasyPro!$B$2:$E$318, 4, false))</f>
        <v>0</v>
      </c>
      <c r="H158" s="46">
        <f>if(ISNA(vlookup($A158, RotoWire!$B$2:$E$681, 4, false)), 0, vlookup($A158, RotoWire!$B$2:$E$681, 4, false))</f>
        <v>1</v>
      </c>
      <c r="I158" s="47">
        <f t="shared" si="1"/>
        <v>1.25</v>
      </c>
      <c r="J158" s="47">
        <f t="shared" si="2"/>
        <v>3</v>
      </c>
    </row>
    <row r="159">
      <c r="A159" s="44" t="s">
        <v>141</v>
      </c>
      <c r="B159" s="45" t="s">
        <v>47</v>
      </c>
      <c r="C159" s="45" t="s">
        <v>7</v>
      </c>
      <c r="D159" s="45">
        <v>7.0</v>
      </c>
      <c r="E159" s="46">
        <f>if(ISNA(vlookup($A159, ESPN!$B$2:$E$281, 4, false)), 0, vlookup($A159, ESPN!$B$2:$E$281, 4, false))</f>
        <v>1</v>
      </c>
      <c r="F159" s="46">
        <f>if(ISNA(vlookup($A159, Scout.com!$B$2:$E$239, 4, false)), 0, vlookup($A159, Scout.com!$B$2:$E$239, 4, false))</f>
        <v>0</v>
      </c>
      <c r="G159" s="46">
        <f>if(ISNA(vlookup($A159, FantasyPro!$B$2:$E$318, 4, false)), 0, vlookup($A159, FantasyPro!$B$2:$E$318, 4, false))</f>
        <v>2</v>
      </c>
      <c r="H159" s="46">
        <f>if(ISNA(vlookup($A159, RotoWire!$B$2:$E$681, 4, false)), 0, vlookup($A159, RotoWire!$B$2:$E$681, 4, false))</f>
        <v>2</v>
      </c>
      <c r="I159" s="47">
        <f t="shared" si="1"/>
        <v>1.25</v>
      </c>
      <c r="J159" s="47">
        <f t="shared" si="2"/>
        <v>2</v>
      </c>
    </row>
    <row r="160">
      <c r="A160" s="44" t="s">
        <v>245</v>
      </c>
      <c r="B160" s="45" t="s">
        <v>34</v>
      </c>
      <c r="C160" s="45" t="s">
        <v>7</v>
      </c>
      <c r="D160" s="45">
        <v>8.0</v>
      </c>
      <c r="E160" s="46">
        <f>if(ISNA(vlookup($A160, ESPN!$B$2:$E$281, 4, false)), 0, vlookup($A160, ESPN!$B$2:$E$281, 4, false))</f>
        <v>0</v>
      </c>
      <c r="F160" s="46">
        <f>if(ISNA(vlookup($A160, Scout.com!$B$2:$E$239, 4, false)), 0, vlookup($A160, Scout.com!$B$2:$E$239, 4, false))</f>
        <v>0</v>
      </c>
      <c r="G160" s="46">
        <f>if(ISNA(vlookup($A160, FantasyPro!$B$2:$E$318, 4, false)), 0, vlookup($A160, FantasyPro!$B$2:$E$318, 4, false))</f>
        <v>2</v>
      </c>
      <c r="H160" s="46">
        <f>if(ISNA(vlookup($A160, RotoWire!$B$2:$E$681, 4, false)), 0, vlookup($A160, RotoWire!$B$2:$E$681, 4, false))</f>
        <v>2</v>
      </c>
      <c r="I160" s="47">
        <f t="shared" si="1"/>
        <v>1</v>
      </c>
      <c r="J160" s="47">
        <f t="shared" si="2"/>
        <v>2</v>
      </c>
    </row>
    <row r="161">
      <c r="A161" s="44" t="s">
        <v>227</v>
      </c>
      <c r="B161" s="45" t="s">
        <v>41</v>
      </c>
      <c r="C161" s="45" t="s">
        <v>199</v>
      </c>
      <c r="D161" s="45">
        <v>4.0</v>
      </c>
      <c r="E161" s="46">
        <f>if(ISNA(vlookup($A161, ESPN!$B$2:$E$281, 4, false)), 0, vlookup($A161, ESPN!$B$2:$E$281, 4, false))</f>
        <v>1</v>
      </c>
      <c r="F161" s="46">
        <f>if(ISNA(vlookup($A161, Scout.com!$B$2:$E$239, 4, false)), 0, vlookup($A161, Scout.com!$B$2:$E$239, 4, false))</f>
        <v>2</v>
      </c>
      <c r="G161" s="46">
        <f>if(ISNA(vlookup($A161, FantasyPro!$B$2:$E$318, 4, false)), 0, vlookup($A161, FantasyPro!$B$2:$E$318, 4, false))</f>
        <v>1</v>
      </c>
      <c r="H161" s="46">
        <f>if(ISNA(vlookup($A161, RotoWire!$B$2:$E$681, 4, false)), 0, vlookup($A161, RotoWire!$B$2:$E$681, 4, false))</f>
        <v>0</v>
      </c>
      <c r="I161" s="47">
        <f t="shared" si="1"/>
        <v>1</v>
      </c>
      <c r="J161" s="47">
        <f t="shared" si="2"/>
        <v>2</v>
      </c>
    </row>
    <row r="162">
      <c r="A162" s="44" t="s">
        <v>210</v>
      </c>
      <c r="B162" s="45" t="s">
        <v>60</v>
      </c>
      <c r="C162" s="45" t="s">
        <v>7</v>
      </c>
      <c r="D162" s="45">
        <v>9.0</v>
      </c>
      <c r="E162" s="46">
        <f>if(ISNA(vlookup($A162, ESPN!$B$2:$E$281, 4, false)), 0, vlookup($A162, ESPN!$B$2:$E$281, 4, false))</f>
        <v>0</v>
      </c>
      <c r="F162" s="46">
        <f>if(ISNA(vlookup($A162, Scout.com!$B$2:$E$239, 4, false)), 0, vlookup($A162, Scout.com!$B$2:$E$239, 4, false))</f>
        <v>0</v>
      </c>
      <c r="G162" s="46">
        <f>if(ISNA(vlookup($A162, FantasyPro!$B$2:$E$318, 4, false)), 0, vlookup($A162, FantasyPro!$B$2:$E$318, 4, false))</f>
        <v>2</v>
      </c>
      <c r="H162" s="46">
        <f>if(ISNA(vlookup($A162, RotoWire!$B$2:$E$681, 4, false)), 0, vlookup($A162, RotoWire!$B$2:$E$681, 4, false))</f>
        <v>2</v>
      </c>
      <c r="I162" s="47">
        <f t="shared" si="1"/>
        <v>1</v>
      </c>
      <c r="J162" s="47">
        <f t="shared" si="2"/>
        <v>2</v>
      </c>
    </row>
    <row r="163">
      <c r="A163" s="44" t="s">
        <v>243</v>
      </c>
      <c r="B163" s="45" t="s">
        <v>26</v>
      </c>
      <c r="C163" s="45" t="s">
        <v>7</v>
      </c>
      <c r="D163" s="45">
        <v>10.0</v>
      </c>
      <c r="E163" s="46">
        <f>if(ISNA(vlookup($A163, ESPN!$B$2:$E$281, 4, false)), 0, vlookup($A163, ESPN!$B$2:$E$281, 4, false))</f>
        <v>0</v>
      </c>
      <c r="F163" s="46">
        <f>if(ISNA(vlookup($A163, Scout.com!$B$2:$E$239, 4, false)), 0, vlookup($A163, Scout.com!$B$2:$E$239, 4, false))</f>
        <v>0</v>
      </c>
      <c r="G163" s="46">
        <f>if(ISNA(vlookup($A163, FantasyPro!$B$2:$E$318, 4, false)), 0, vlookup($A163, FantasyPro!$B$2:$E$318, 4, false))</f>
        <v>1</v>
      </c>
      <c r="H163" s="46">
        <f>if(ISNA(vlookup($A163, RotoWire!$B$2:$E$681, 4, false)), 0, vlookup($A163, RotoWire!$B$2:$E$681, 4, false))</f>
        <v>3</v>
      </c>
      <c r="I163" s="47">
        <f t="shared" si="1"/>
        <v>1</v>
      </c>
      <c r="J163" s="47">
        <f t="shared" si="2"/>
        <v>3</v>
      </c>
    </row>
    <row r="164">
      <c r="A164" s="44" t="s">
        <v>326</v>
      </c>
      <c r="B164" s="45" t="s">
        <v>34</v>
      </c>
      <c r="C164" s="45" t="s">
        <v>43</v>
      </c>
      <c r="D164" s="45">
        <v>8.0</v>
      </c>
      <c r="E164" s="46">
        <f>if(ISNA(vlookup($A164, ESPN!$B$2:$E$281, 4, false)), 0, vlookup($A164, ESPN!$B$2:$E$281, 4, false))</f>
        <v>0</v>
      </c>
      <c r="F164" s="46">
        <f>if(ISNA(vlookup($A164, Scout.com!$B$2:$E$239, 4, false)), 0, vlookup($A164, Scout.com!$B$2:$E$239, 4, false))</f>
        <v>4</v>
      </c>
      <c r="G164" s="46">
        <f>if(ISNA(vlookup($A164, FantasyPro!$B$2:$E$318, 4, false)), 0, vlookup($A164, FantasyPro!$B$2:$E$318, 4, false))</f>
        <v>0</v>
      </c>
      <c r="H164" s="46">
        <f>if(ISNA(vlookup($A164, RotoWire!$B$2:$E$681, 4, false)), 0, vlookup($A164, RotoWire!$B$2:$E$681, 4, false))</f>
        <v>0</v>
      </c>
      <c r="I164" s="47">
        <f t="shared" si="1"/>
        <v>1</v>
      </c>
      <c r="J164" s="47">
        <f t="shared" si="2"/>
        <v>4</v>
      </c>
    </row>
    <row r="165">
      <c r="A165" s="44" t="s">
        <v>161</v>
      </c>
      <c r="B165" s="45" t="s">
        <v>53</v>
      </c>
      <c r="C165" s="45" t="s">
        <v>43</v>
      </c>
      <c r="D165" s="45">
        <v>9.0</v>
      </c>
      <c r="E165" s="46">
        <f>if(ISNA(vlookup($A165, ESPN!$B$2:$E$281, 4, false)), 0, vlookup($A165, ESPN!$B$2:$E$281, 4, false))</f>
        <v>1</v>
      </c>
      <c r="F165" s="46">
        <f>if(ISNA(vlookup($A165, Scout.com!$B$2:$E$239, 4, false)), 0, vlookup($A165, Scout.com!$B$2:$E$239, 4, false))</f>
        <v>0</v>
      </c>
      <c r="G165" s="46">
        <f>if(ISNA(vlookup($A165, FantasyPro!$B$2:$E$318, 4, false)), 0, vlookup($A165, FantasyPro!$B$2:$E$318, 4, false))</f>
        <v>3</v>
      </c>
      <c r="H165" s="46">
        <f>if(ISNA(vlookup($A165, RotoWire!$B$2:$E$681, 4, false)), 0, vlookup($A165, RotoWire!$B$2:$E$681, 4, false))</f>
        <v>0</v>
      </c>
      <c r="I165" s="47">
        <f t="shared" si="1"/>
        <v>1</v>
      </c>
      <c r="J165" s="47">
        <f t="shared" si="2"/>
        <v>3</v>
      </c>
    </row>
    <row r="166">
      <c r="A166" s="44" t="s">
        <v>322</v>
      </c>
      <c r="B166" s="45" t="s">
        <v>70</v>
      </c>
      <c r="C166" s="45" t="s">
        <v>97</v>
      </c>
      <c r="D166" s="45">
        <v>11.0</v>
      </c>
      <c r="E166" s="46">
        <f>if(ISNA(vlookup($A166, ESPN!$B$2:$E$281, 4, false)), 0, vlookup($A166, ESPN!$B$2:$E$281, 4, false))</f>
        <v>0</v>
      </c>
      <c r="F166" s="46">
        <f>if(ISNA(vlookup($A166, Scout.com!$B$2:$E$239, 4, false)), 0, vlookup($A166, Scout.com!$B$2:$E$239, 4, false))</f>
        <v>4</v>
      </c>
      <c r="G166" s="46">
        <f>if(ISNA(vlookup($A166, FantasyPro!$B$2:$E$318, 4, false)), 0, vlookup($A166, FantasyPro!$B$2:$E$318, 4, false))</f>
        <v>0</v>
      </c>
      <c r="H166" s="46">
        <f>if(ISNA(vlookup($A166, RotoWire!$B$2:$E$681, 4, false)), 0, vlookup($A166, RotoWire!$B$2:$E$681, 4, false))</f>
        <v>0</v>
      </c>
      <c r="I166" s="47">
        <f t="shared" si="1"/>
        <v>1</v>
      </c>
      <c r="J166" s="47">
        <f t="shared" si="2"/>
        <v>4</v>
      </c>
    </row>
    <row r="167">
      <c r="A167" s="44" t="s">
        <v>122</v>
      </c>
      <c r="B167" s="45" t="s">
        <v>123</v>
      </c>
      <c r="C167" s="45" t="s">
        <v>17</v>
      </c>
      <c r="D167" s="45">
        <v>4.0</v>
      </c>
      <c r="E167" s="46">
        <f>if(ISNA(vlookup($A167, ESPN!$B$2:$E$281, 4, false)), 0, vlookup($A167, ESPN!$B$2:$E$281, 4, false))</f>
        <v>2</v>
      </c>
      <c r="F167" s="46">
        <f>if(ISNA(vlookup($A167, Scout.com!$B$2:$E$239, 4, false)), 0, vlookup($A167, Scout.com!$B$2:$E$239, 4, false))</f>
        <v>0</v>
      </c>
      <c r="G167" s="46">
        <f>if(ISNA(vlookup($A167, FantasyPro!$B$2:$E$318, 4, false)), 0, vlookup($A167, FantasyPro!$B$2:$E$318, 4, false))</f>
        <v>2</v>
      </c>
      <c r="H167" s="46">
        <f>if(ISNA(vlookup($A167, RotoWire!$B$2:$E$681, 4, false)), 0, vlookup($A167, RotoWire!$B$2:$E$681, 4, false))</f>
        <v>0</v>
      </c>
      <c r="I167" s="47">
        <f t="shared" si="1"/>
        <v>1</v>
      </c>
      <c r="J167" s="47">
        <f t="shared" si="2"/>
        <v>2</v>
      </c>
    </row>
    <row r="168">
      <c r="A168" s="44" t="s">
        <v>221</v>
      </c>
      <c r="B168" s="45" t="s">
        <v>88</v>
      </c>
      <c r="C168" s="45" t="s">
        <v>219</v>
      </c>
      <c r="D168" s="45">
        <v>10.0</v>
      </c>
      <c r="E168" s="46">
        <f>if(ISNA(vlookup($A168, ESPN!$B$2:$E$281, 4, false)), 0, vlookup($A168, ESPN!$B$2:$E$281, 4, false))</f>
        <v>1</v>
      </c>
      <c r="F168" s="46">
        <f>if(ISNA(vlookup($A168, Scout.com!$B$2:$E$239, 4, false)), 0, vlookup($A168, Scout.com!$B$2:$E$239, 4, false))</f>
        <v>2</v>
      </c>
      <c r="G168" s="46">
        <f>if(ISNA(vlookup($A168, FantasyPro!$B$2:$E$318, 4, false)), 0, vlookup($A168, FantasyPro!$B$2:$E$318, 4, false))</f>
        <v>1</v>
      </c>
      <c r="H168" s="46">
        <f>if(ISNA(vlookup($A168, RotoWire!$B$2:$E$681, 4, false)), 0, vlookup($A168, RotoWire!$B$2:$E$681, 4, false))</f>
        <v>0</v>
      </c>
      <c r="I168" s="47">
        <f t="shared" si="1"/>
        <v>1</v>
      </c>
      <c r="J168" s="47">
        <f t="shared" si="2"/>
        <v>2</v>
      </c>
    </row>
    <row r="169">
      <c r="A169" s="44" t="s">
        <v>291</v>
      </c>
      <c r="B169" s="45" t="s">
        <v>45</v>
      </c>
      <c r="C169" s="45" t="s">
        <v>43</v>
      </c>
      <c r="D169" s="45">
        <v>11.0</v>
      </c>
      <c r="E169" s="46">
        <f>if(ISNA(vlookup($A169, ESPN!$B$2:$E$281, 4, false)), 0, vlookup($A169, ESPN!$B$2:$E$281, 4, false))</f>
        <v>0</v>
      </c>
      <c r="F169" s="46">
        <f>if(ISNA(vlookup($A169, Scout.com!$B$2:$E$239, 4, false)), 0, vlookup($A169, Scout.com!$B$2:$E$239, 4, false))</f>
        <v>4</v>
      </c>
      <c r="G169" s="46">
        <f>if(ISNA(vlookup($A169, FantasyPro!$B$2:$E$318, 4, false)), 0, vlookup($A169, FantasyPro!$B$2:$E$318, 4, false))</f>
        <v>0</v>
      </c>
      <c r="H169" s="46">
        <f>if(ISNA(vlookup($A169, RotoWire!$B$2:$E$681, 4, false)), 0, vlookup($A169, RotoWire!$B$2:$E$681, 4, false))</f>
        <v>0</v>
      </c>
      <c r="I169" s="47">
        <f t="shared" si="1"/>
        <v>1</v>
      </c>
      <c r="J169" s="47">
        <f t="shared" si="2"/>
        <v>4</v>
      </c>
    </row>
    <row r="170">
      <c r="A170" s="44" t="s">
        <v>270</v>
      </c>
      <c r="B170" s="45" t="s">
        <v>34</v>
      </c>
      <c r="C170" s="45" t="s">
        <v>17</v>
      </c>
      <c r="D170" s="45">
        <v>8.0</v>
      </c>
      <c r="E170" s="46">
        <f>if(ISNA(vlookup($A170, ESPN!$B$2:$E$281, 4, false)), 0, vlookup($A170, ESPN!$B$2:$E$281, 4, false))</f>
        <v>0</v>
      </c>
      <c r="F170" s="46">
        <f>if(ISNA(vlookup($A170, Scout.com!$B$2:$E$239, 4, false)), 0, vlookup($A170, Scout.com!$B$2:$E$239, 4, false))</f>
        <v>0</v>
      </c>
      <c r="G170" s="46">
        <f>if(ISNA(vlookup($A170, FantasyPro!$B$2:$E$318, 4, false)), 0, vlookup($A170, FantasyPro!$B$2:$E$318, 4, false))</f>
        <v>3</v>
      </c>
      <c r="H170" s="46">
        <f>if(ISNA(vlookup($A170, RotoWire!$B$2:$E$681, 4, false)), 0, vlookup($A170, RotoWire!$B$2:$E$681, 4, false))</f>
        <v>1</v>
      </c>
      <c r="I170" s="47">
        <f t="shared" si="1"/>
        <v>1</v>
      </c>
      <c r="J170" s="47">
        <f t="shared" si="2"/>
        <v>3</v>
      </c>
    </row>
    <row r="171">
      <c r="A171" s="44" t="s">
        <v>357</v>
      </c>
      <c r="B171" s="48" t="s">
        <v>123</v>
      </c>
      <c r="C171" s="45" t="s">
        <v>7</v>
      </c>
      <c r="D171" s="48">
        <v>4.0</v>
      </c>
      <c r="E171" s="46">
        <f>if(ISNA(vlookup($A171, ESPN!$B$2:$E$281, 4, false)), 0, vlookup($A171, ESPN!$B$2:$E$281, 4, false))</f>
        <v>0</v>
      </c>
      <c r="F171" s="46">
        <f>if(ISNA(vlookup($A171, Scout.com!$B$2:$E$239, 4, false)), 0, vlookup($A171, Scout.com!$B$2:$E$239, 4, false))</f>
        <v>0</v>
      </c>
      <c r="G171" s="46">
        <f>if(ISNA(vlookup($A171, FantasyPro!$B$2:$E$318, 4, false)), 0, vlookup($A171, FantasyPro!$B$2:$E$318, 4, false))</f>
        <v>0</v>
      </c>
      <c r="H171" s="46">
        <f>if(ISNA(vlookup($A171, RotoWire!$B$2:$E$681, 4, false)), 0, vlookup($A171, RotoWire!$B$2:$E$681, 4, false))</f>
        <v>3</v>
      </c>
      <c r="I171" s="47">
        <f t="shared" si="1"/>
        <v>0.75</v>
      </c>
      <c r="J171" s="47">
        <f t="shared" si="2"/>
        <v>3</v>
      </c>
    </row>
    <row r="172">
      <c r="A172" s="44" t="s">
        <v>259</v>
      </c>
      <c r="B172" s="45" t="s">
        <v>45</v>
      </c>
      <c r="C172" s="45" t="s">
        <v>17</v>
      </c>
      <c r="D172" s="45">
        <v>11.0</v>
      </c>
      <c r="E172" s="46">
        <f>if(ISNA(vlookup($A172, ESPN!$B$2:$E$281, 4, false)), 0, vlookup($A172, ESPN!$B$2:$E$281, 4, false))</f>
        <v>0</v>
      </c>
      <c r="F172" s="46">
        <f>if(ISNA(vlookup($A172, Scout.com!$B$2:$E$239, 4, false)), 0, vlookup($A172, Scout.com!$B$2:$E$239, 4, false))</f>
        <v>0</v>
      </c>
      <c r="G172" s="46">
        <f>if(ISNA(vlookup($A172, FantasyPro!$B$2:$E$318, 4, false)), 0, vlookup($A172, FantasyPro!$B$2:$E$318, 4, false))</f>
        <v>0</v>
      </c>
      <c r="H172" s="46">
        <f>if(ISNA(vlookup($A172, RotoWire!$B$2:$E$681, 4, false)), 0, vlookup($A172, RotoWire!$B$2:$E$681, 4, false))</f>
        <v>3</v>
      </c>
      <c r="I172" s="47">
        <f t="shared" si="1"/>
        <v>0.75</v>
      </c>
      <c r="J172" s="47">
        <f t="shared" si="2"/>
        <v>3</v>
      </c>
    </row>
    <row r="173">
      <c r="A173" s="44" t="s">
        <v>302</v>
      </c>
      <c r="B173" s="48" t="s">
        <v>30</v>
      </c>
      <c r="C173" s="45" t="s">
        <v>97</v>
      </c>
      <c r="D173" s="45">
        <v>9.0</v>
      </c>
      <c r="E173" s="46">
        <f>if(ISNA(vlookup($A173, ESPN!$B$2:$E$281, 4, false)), 0, vlookup($A173, ESPN!$B$2:$E$281, 4, false))</f>
        <v>0</v>
      </c>
      <c r="F173" s="46">
        <f>if(ISNA(vlookup($A173, Scout.com!$B$2:$E$239, 4, false)), 0, vlookup($A173, Scout.com!$B$2:$E$239, 4, false))</f>
        <v>3</v>
      </c>
      <c r="G173" s="46">
        <f>if(ISNA(vlookup($A173, FantasyPro!$B$2:$E$318, 4, false)), 0, vlookup($A173, FantasyPro!$B$2:$E$318, 4, false))</f>
        <v>0</v>
      </c>
      <c r="H173" s="46">
        <f>if(ISNA(vlookup($A173, RotoWire!$B$2:$E$681, 4, false)), 0, vlookup($A173, RotoWire!$B$2:$E$681, 4, false))</f>
        <v>0</v>
      </c>
      <c r="I173" s="47">
        <f t="shared" si="1"/>
        <v>0.75</v>
      </c>
      <c r="J173" s="47">
        <f t="shared" si="2"/>
        <v>3</v>
      </c>
    </row>
    <row r="174">
      <c r="A174" s="44" t="s">
        <v>162</v>
      </c>
      <c r="B174" s="45" t="s">
        <v>21</v>
      </c>
      <c r="C174" s="45" t="s">
        <v>17</v>
      </c>
      <c r="D174" s="45">
        <v>6.0</v>
      </c>
      <c r="E174" s="46">
        <f>if(ISNA(vlookup($A174, ESPN!$B$2:$E$281, 4, false)), 0, vlookup($A174, ESPN!$B$2:$E$281, 4, false))</f>
        <v>1</v>
      </c>
      <c r="F174" s="46">
        <f>if(ISNA(vlookup($A174, Scout.com!$B$2:$E$239, 4, false)), 0, vlookup($A174, Scout.com!$B$2:$E$239, 4, false))</f>
        <v>0</v>
      </c>
      <c r="G174" s="46">
        <f>if(ISNA(vlookup($A174, FantasyPro!$B$2:$E$318, 4, false)), 0, vlookup($A174, FantasyPro!$B$2:$E$318, 4, false))</f>
        <v>1</v>
      </c>
      <c r="H174" s="46">
        <f>if(ISNA(vlookup($A174, RotoWire!$B$2:$E$681, 4, false)), 0, vlookup($A174, RotoWire!$B$2:$E$681, 4, false))</f>
        <v>1</v>
      </c>
      <c r="I174" s="47">
        <f t="shared" si="1"/>
        <v>0.75</v>
      </c>
      <c r="J174" s="47">
        <f t="shared" si="2"/>
        <v>1</v>
      </c>
    </row>
    <row r="175">
      <c r="A175" s="44" t="s">
        <v>301</v>
      </c>
      <c r="B175" s="45" t="s">
        <v>63</v>
      </c>
      <c r="C175" s="45" t="s">
        <v>97</v>
      </c>
      <c r="D175" s="45">
        <v>10.0</v>
      </c>
      <c r="E175" s="46">
        <f>if(ISNA(vlookup($A175, ESPN!$B$2:$E$281, 4, false)), 0, vlookup($A175, ESPN!$B$2:$E$281, 4, false))</f>
        <v>0</v>
      </c>
      <c r="F175" s="46">
        <f>if(ISNA(vlookup($A175, Scout.com!$B$2:$E$239, 4, false)), 0, vlookup($A175, Scout.com!$B$2:$E$239, 4, false))</f>
        <v>3</v>
      </c>
      <c r="G175" s="46">
        <f>if(ISNA(vlookup($A175, FantasyPro!$B$2:$E$318, 4, false)), 0, vlookup($A175, FantasyPro!$B$2:$E$318, 4, false))</f>
        <v>0</v>
      </c>
      <c r="H175" s="46">
        <f>if(ISNA(vlookup($A175, RotoWire!$B$2:$E$681, 4, false)), 0, vlookup($A175, RotoWire!$B$2:$E$681, 4, false))</f>
        <v>0</v>
      </c>
      <c r="I175" s="47">
        <f t="shared" si="1"/>
        <v>0.75</v>
      </c>
      <c r="J175" s="47">
        <f t="shared" si="2"/>
        <v>3</v>
      </c>
    </row>
    <row r="176">
      <c r="A176" s="44" t="s">
        <v>166</v>
      </c>
      <c r="B176" s="45" t="s">
        <v>49</v>
      </c>
      <c r="C176" s="45" t="s">
        <v>17</v>
      </c>
      <c r="D176" s="45">
        <v>5.0</v>
      </c>
      <c r="E176" s="46">
        <f>if(ISNA(vlookup($A176, ESPN!$B$2:$E$281, 4, false)), 0, vlookup($A176, ESPN!$B$2:$E$281, 4, false))</f>
        <v>1</v>
      </c>
      <c r="F176" s="46">
        <f>if(ISNA(vlookup($A176, Scout.com!$B$2:$E$239, 4, false)), 0, vlookup($A176, Scout.com!$B$2:$E$239, 4, false))</f>
        <v>0</v>
      </c>
      <c r="G176" s="46">
        <f>if(ISNA(vlookup($A176, FantasyPro!$B$2:$E$318, 4, false)), 0, vlookup($A176, FantasyPro!$B$2:$E$318, 4, false))</f>
        <v>0</v>
      </c>
      <c r="H176" s="46">
        <f>if(ISNA(vlookup($A176, RotoWire!$B$2:$E$681, 4, false)), 0, vlookup($A176, RotoWire!$B$2:$E$681, 4, false))</f>
        <v>2</v>
      </c>
      <c r="I176" s="47">
        <f t="shared" si="1"/>
        <v>0.75</v>
      </c>
      <c r="J176" s="47">
        <f t="shared" si="2"/>
        <v>2</v>
      </c>
    </row>
    <row r="177">
      <c r="A177" s="44" t="s">
        <v>244</v>
      </c>
      <c r="B177" s="45" t="s">
        <v>70</v>
      </c>
      <c r="C177" s="45" t="s">
        <v>7</v>
      </c>
      <c r="D177" s="45">
        <v>11.0</v>
      </c>
      <c r="E177" s="46">
        <f>if(ISNA(vlookup($A177, ESPN!$B$2:$E$281, 4, false)), 0, vlookup($A177, ESPN!$B$2:$E$281, 4, false))</f>
        <v>0</v>
      </c>
      <c r="F177" s="46">
        <f>if(ISNA(vlookup($A177, Scout.com!$B$2:$E$239, 4, false)), 0, vlookup($A177, Scout.com!$B$2:$E$239, 4, false))</f>
        <v>0</v>
      </c>
      <c r="G177" s="46">
        <f>if(ISNA(vlookup($A177, FantasyPro!$B$2:$E$318, 4, false)), 0, vlookup($A177, FantasyPro!$B$2:$E$318, 4, false))</f>
        <v>1</v>
      </c>
      <c r="H177" s="46">
        <f>if(ISNA(vlookup($A177, RotoWire!$B$2:$E$681, 4, false)), 0, vlookup($A177, RotoWire!$B$2:$E$681, 4, false))</f>
        <v>2</v>
      </c>
      <c r="I177" s="47">
        <f t="shared" si="1"/>
        <v>0.75</v>
      </c>
      <c r="J177" s="47">
        <f t="shared" si="2"/>
        <v>2</v>
      </c>
    </row>
    <row r="178">
      <c r="A178" s="44" t="s">
        <v>329</v>
      </c>
      <c r="B178" s="45" t="s">
        <v>72</v>
      </c>
      <c r="C178" s="45" t="s">
        <v>17</v>
      </c>
      <c r="D178" s="45">
        <v>11.0</v>
      </c>
      <c r="E178" s="46">
        <f>if(ISNA(vlookup($A178, ESPN!$B$2:$E$281, 4, false)), 0, vlookup($A178, ESPN!$B$2:$E$281, 4, false))</f>
        <v>0</v>
      </c>
      <c r="F178" s="46">
        <f>if(ISNA(vlookup($A178, Scout.com!$B$2:$E$239, 4, false)), 0, vlookup($A178, Scout.com!$B$2:$E$239, 4, false))</f>
        <v>3</v>
      </c>
      <c r="G178" s="46">
        <f>if(ISNA(vlookup($A178, FantasyPro!$B$2:$E$318, 4, false)), 0, vlookup($A178, FantasyPro!$B$2:$E$318, 4, false))</f>
        <v>0</v>
      </c>
      <c r="H178" s="46">
        <f>if(ISNA(vlookup($A178, RotoWire!$B$2:$E$681, 4, false)), 0, vlookup($A178, RotoWire!$B$2:$E$681, 4, false))</f>
        <v>0</v>
      </c>
      <c r="I178" s="47">
        <f t="shared" si="1"/>
        <v>0.75</v>
      </c>
      <c r="J178" s="47">
        <f t="shared" si="2"/>
        <v>3</v>
      </c>
    </row>
    <row r="179">
      <c r="A179" s="44" t="s">
        <v>195</v>
      </c>
      <c r="B179" s="45" t="s">
        <v>75</v>
      </c>
      <c r="C179" s="45" t="s">
        <v>7</v>
      </c>
      <c r="D179" s="45">
        <v>7.0</v>
      </c>
      <c r="E179" s="46">
        <f>if(ISNA(vlookup($A179, ESPN!$B$2:$E$281, 4, false)), 0, vlookup($A179, ESPN!$B$2:$E$281, 4, false))</f>
        <v>0</v>
      </c>
      <c r="F179" s="46">
        <f>if(ISNA(vlookup($A179, Scout.com!$B$2:$E$239, 4, false)), 0, vlookup($A179, Scout.com!$B$2:$E$239, 4, false))</f>
        <v>0</v>
      </c>
      <c r="G179" s="46">
        <f>if(ISNA(vlookup($A179, FantasyPro!$B$2:$E$318, 4, false)), 0, vlookup($A179, FantasyPro!$B$2:$E$318, 4, false))</f>
        <v>2</v>
      </c>
      <c r="H179" s="46">
        <f>if(ISNA(vlookup($A179, RotoWire!$B$2:$E$681, 4, false)), 0, vlookup($A179, RotoWire!$B$2:$E$681, 4, false))</f>
        <v>1</v>
      </c>
      <c r="I179" s="47">
        <f t="shared" si="1"/>
        <v>0.75</v>
      </c>
      <c r="J179" s="47">
        <f t="shared" si="2"/>
        <v>2</v>
      </c>
    </row>
    <row r="180">
      <c r="A180" s="44" t="s">
        <v>327</v>
      </c>
      <c r="B180" s="45" t="s">
        <v>47</v>
      </c>
      <c r="C180" s="45" t="s">
        <v>199</v>
      </c>
      <c r="D180" s="45">
        <v>7.0</v>
      </c>
      <c r="E180" s="46">
        <f>if(ISNA(vlookup($A180, ESPN!$B$2:$E$281, 4, false)), 0, vlookup($A180, ESPN!$B$2:$E$281, 4, false))</f>
        <v>0</v>
      </c>
      <c r="F180" s="46">
        <f>if(ISNA(vlookup($A180, Scout.com!$B$2:$E$239, 4, false)), 0, vlookup($A180, Scout.com!$B$2:$E$239, 4, false))</f>
        <v>3</v>
      </c>
      <c r="G180" s="46">
        <f>if(ISNA(vlookup($A180, FantasyPro!$B$2:$E$318, 4, false)), 0, vlookup($A180, FantasyPro!$B$2:$E$318, 4, false))</f>
        <v>0</v>
      </c>
      <c r="H180" s="46">
        <f>if(ISNA(vlookup($A180, RotoWire!$B$2:$E$681, 4, false)), 0, vlookup($A180, RotoWire!$B$2:$E$681, 4, false))</f>
        <v>0</v>
      </c>
      <c r="I180" s="47">
        <f t="shared" si="1"/>
        <v>0.75</v>
      </c>
      <c r="J180" s="47">
        <f t="shared" si="2"/>
        <v>3</v>
      </c>
    </row>
    <row r="181">
      <c r="A181" s="44" t="s">
        <v>189</v>
      </c>
      <c r="B181" s="45" t="s">
        <v>15</v>
      </c>
      <c r="C181" s="45" t="s">
        <v>7</v>
      </c>
      <c r="D181" s="45">
        <v>11.0</v>
      </c>
      <c r="E181" s="46">
        <f>if(ISNA(vlookup($A181, ESPN!$B$2:$E$281, 4, false)), 0, vlookup($A181, ESPN!$B$2:$E$281, 4, false))</f>
        <v>0</v>
      </c>
      <c r="F181" s="46">
        <f>if(ISNA(vlookup($A181, Scout.com!$B$2:$E$239, 4, false)), 0, vlookup($A181, Scout.com!$B$2:$E$239, 4, false))</f>
        <v>0</v>
      </c>
      <c r="G181" s="46">
        <f>if(ISNA(vlookup($A181, FantasyPro!$B$2:$E$318, 4, false)), 0, vlookup($A181, FantasyPro!$B$2:$E$318, 4, false))</f>
        <v>3</v>
      </c>
      <c r="H181" s="46">
        <f>if(ISNA(vlookup($A181, RotoWire!$B$2:$E$681, 4, false)), 0, vlookup($A181, RotoWire!$B$2:$E$681, 4, false))</f>
        <v>0</v>
      </c>
      <c r="I181" s="47">
        <f t="shared" si="1"/>
        <v>0.75</v>
      </c>
      <c r="J181" s="47">
        <f t="shared" si="2"/>
        <v>3</v>
      </c>
    </row>
    <row r="182">
      <c r="A182" s="44" t="s">
        <v>307</v>
      </c>
      <c r="B182" s="45" t="s">
        <v>45</v>
      </c>
      <c r="C182" s="45" t="s">
        <v>7</v>
      </c>
      <c r="D182" s="45">
        <v>11.0</v>
      </c>
      <c r="E182" s="46">
        <f>if(ISNA(vlookup($A182, ESPN!$B$2:$E$281, 4, false)), 0, vlookup($A182, ESPN!$B$2:$E$281, 4, false))</f>
        <v>0</v>
      </c>
      <c r="F182" s="46">
        <f>if(ISNA(vlookup($A182, Scout.com!$B$2:$E$239, 4, false)), 0, vlookup($A182, Scout.com!$B$2:$E$239, 4, false))</f>
        <v>3</v>
      </c>
      <c r="G182" s="46">
        <f>if(ISNA(vlookup($A182, FantasyPro!$B$2:$E$318, 4, false)), 0, vlookup($A182, FantasyPro!$B$2:$E$318, 4, false))</f>
        <v>0</v>
      </c>
      <c r="H182" s="46">
        <f>if(ISNA(vlookup($A182, RotoWire!$B$2:$E$681, 4, false)), 0, vlookup($A182, RotoWire!$B$2:$E$681, 4, false))</f>
        <v>0</v>
      </c>
      <c r="I182" s="47">
        <f t="shared" si="1"/>
        <v>0.75</v>
      </c>
      <c r="J182" s="47">
        <f t="shared" si="2"/>
        <v>3</v>
      </c>
    </row>
    <row r="183">
      <c r="A183" s="44" t="s">
        <v>163</v>
      </c>
      <c r="B183" s="45" t="s">
        <v>23</v>
      </c>
      <c r="C183" s="45" t="s">
        <v>17</v>
      </c>
      <c r="D183" s="45">
        <v>8.0</v>
      </c>
      <c r="E183" s="46">
        <f>if(ISNA(vlookup($A183, ESPN!$B$2:$E$281, 4, false)), 0, vlookup($A183, ESPN!$B$2:$E$281, 4, false))</f>
        <v>1</v>
      </c>
      <c r="F183" s="46">
        <f>if(ISNA(vlookup($A183, Scout.com!$B$2:$E$239, 4, false)), 0, vlookup($A183, Scout.com!$B$2:$E$239, 4, false))</f>
        <v>0</v>
      </c>
      <c r="G183" s="46">
        <f>if(ISNA(vlookup($A183, FantasyPro!$B$2:$E$318, 4, false)), 0, vlookup($A183, FantasyPro!$B$2:$E$318, 4, false))</f>
        <v>2</v>
      </c>
      <c r="H183" s="46">
        <f>if(ISNA(vlookup($A183, RotoWire!$B$2:$E$681, 4, false)), 0, vlookup($A183, RotoWire!$B$2:$E$681, 4, false))</f>
        <v>0</v>
      </c>
      <c r="I183" s="47">
        <f t="shared" si="1"/>
        <v>0.75</v>
      </c>
      <c r="J183" s="47">
        <f t="shared" si="2"/>
        <v>2</v>
      </c>
    </row>
    <row r="184">
      <c r="A184" s="44" t="s">
        <v>225</v>
      </c>
      <c r="B184" s="45" t="s">
        <v>21</v>
      </c>
      <c r="C184" s="45" t="s">
        <v>199</v>
      </c>
      <c r="D184" s="45">
        <v>6.0</v>
      </c>
      <c r="E184" s="46">
        <f>if(ISNA(vlookup($A184, ESPN!$B$2:$E$281, 4, false)), 0, vlookup($A184, ESPN!$B$2:$E$281, 4, false))</f>
        <v>1</v>
      </c>
      <c r="F184" s="46">
        <f>if(ISNA(vlookup($A184, Scout.com!$B$2:$E$239, 4, false)), 0, vlookup($A184, Scout.com!$B$2:$E$239, 4, false))</f>
        <v>0</v>
      </c>
      <c r="G184" s="46">
        <f>if(ISNA(vlookup($A184, FantasyPro!$B$2:$E$318, 4, false)), 0, vlookup($A184, FantasyPro!$B$2:$E$318, 4, false))</f>
        <v>1</v>
      </c>
      <c r="H184" s="46">
        <f>if(ISNA(vlookup($A184, RotoWire!$B$2:$E$681, 4, false)), 0, vlookup($A184, RotoWire!$B$2:$E$681, 4, false))</f>
        <v>1</v>
      </c>
      <c r="I184" s="47">
        <f t="shared" si="1"/>
        <v>0.75</v>
      </c>
      <c r="J184" s="47">
        <f t="shared" si="2"/>
        <v>1</v>
      </c>
    </row>
    <row r="185">
      <c r="A185" s="44" t="s">
        <v>192</v>
      </c>
      <c r="B185" s="45" t="s">
        <v>53</v>
      </c>
      <c r="C185" s="45" t="s">
        <v>7</v>
      </c>
      <c r="D185" s="45">
        <v>9.0</v>
      </c>
      <c r="E185" s="46">
        <f>if(ISNA(vlookup($A185, ESPN!$B$2:$E$281, 4, false)), 0, vlookup($A185, ESPN!$B$2:$E$281, 4, false))</f>
        <v>0</v>
      </c>
      <c r="F185" s="46">
        <f>if(ISNA(vlookup($A185, Scout.com!$B$2:$E$239, 4, false)), 0, vlookup($A185, Scout.com!$B$2:$E$239, 4, false))</f>
        <v>0</v>
      </c>
      <c r="G185" s="46">
        <f>if(ISNA(vlookup($A185, FantasyPro!$B$2:$E$318, 4, false)), 0, vlookup($A185, FantasyPro!$B$2:$E$318, 4, false))</f>
        <v>1</v>
      </c>
      <c r="H185" s="46">
        <f>if(ISNA(vlookup($A185, RotoWire!$B$2:$E$681, 4, false)), 0, vlookup($A185, RotoWire!$B$2:$E$681, 4, false))</f>
        <v>2</v>
      </c>
      <c r="I185" s="47">
        <f t="shared" si="1"/>
        <v>0.75</v>
      </c>
      <c r="J185" s="47">
        <f t="shared" si="2"/>
        <v>2</v>
      </c>
    </row>
    <row r="186">
      <c r="A186" s="44" t="s">
        <v>254</v>
      </c>
      <c r="B186" s="45" t="s">
        <v>49</v>
      </c>
      <c r="C186" s="45" t="s">
        <v>43</v>
      </c>
      <c r="D186" s="45">
        <v>5.0</v>
      </c>
      <c r="E186" s="46">
        <f>if(ISNA(vlookup($A186, ESPN!$B$2:$E$281, 4, false)), 0, vlookup($A186, ESPN!$B$2:$E$281, 4, false))</f>
        <v>0</v>
      </c>
      <c r="F186" s="46">
        <f>if(ISNA(vlookup($A186, Scout.com!$B$2:$E$239, 4, false)), 0, vlookup($A186, Scout.com!$B$2:$E$239, 4, false))</f>
        <v>3</v>
      </c>
      <c r="G186" s="46">
        <f>if(ISNA(vlookup($A186, FantasyPro!$B$2:$E$318, 4, false)), 0, vlookup($A186, FantasyPro!$B$2:$E$318, 4, false))</f>
        <v>0</v>
      </c>
      <c r="H186" s="46">
        <f>if(ISNA(vlookup($A186, RotoWire!$B$2:$E$681, 4, false)), 0, vlookup($A186, RotoWire!$B$2:$E$681, 4, false))</f>
        <v>0</v>
      </c>
      <c r="I186" s="47">
        <f t="shared" si="1"/>
        <v>0.75</v>
      </c>
      <c r="J186" s="47">
        <f t="shared" si="2"/>
        <v>3</v>
      </c>
    </row>
    <row r="187">
      <c r="A187" s="44" t="s">
        <v>156</v>
      </c>
      <c r="B187" s="45" t="s">
        <v>83</v>
      </c>
      <c r="C187" s="45" t="s">
        <v>17</v>
      </c>
      <c r="D187" s="45">
        <v>8.0</v>
      </c>
      <c r="E187" s="46">
        <f>if(ISNA(vlookup($A187, ESPN!$B$2:$E$281, 4, false)), 0, vlookup($A187, ESPN!$B$2:$E$281, 4, false))</f>
        <v>1</v>
      </c>
      <c r="F187" s="46">
        <f>if(ISNA(vlookup($A187, Scout.com!$B$2:$E$239, 4, false)), 0, vlookup($A187, Scout.com!$B$2:$E$239, 4, false))</f>
        <v>0</v>
      </c>
      <c r="G187" s="46">
        <f>if(ISNA(vlookup($A187, FantasyPro!$B$2:$E$318, 4, false)), 0, vlookup($A187, FantasyPro!$B$2:$E$318, 4, false))</f>
        <v>1</v>
      </c>
      <c r="H187" s="46">
        <f>if(ISNA(vlookup($A187, RotoWire!$B$2:$E$681, 4, false)), 0, vlookup($A187, RotoWire!$B$2:$E$681, 4, false))</f>
        <v>1</v>
      </c>
      <c r="I187" s="47">
        <f t="shared" si="1"/>
        <v>0.75</v>
      </c>
      <c r="J187" s="47">
        <f t="shared" si="2"/>
        <v>1</v>
      </c>
    </row>
    <row r="188">
      <c r="A188" s="44" t="s">
        <v>328</v>
      </c>
      <c r="B188" s="45" t="s">
        <v>72</v>
      </c>
      <c r="C188" s="45" t="s">
        <v>199</v>
      </c>
      <c r="D188" s="45">
        <v>11.0</v>
      </c>
      <c r="E188" s="46">
        <f>if(ISNA(vlookup($A188, ESPN!$B$2:$E$281, 4, false)), 0, vlookup($A188, ESPN!$B$2:$E$281, 4, false))</f>
        <v>0</v>
      </c>
      <c r="F188" s="46">
        <f>if(ISNA(vlookup($A188, Scout.com!$B$2:$E$239, 4, false)), 0, vlookup($A188, Scout.com!$B$2:$E$239, 4, false))</f>
        <v>3</v>
      </c>
      <c r="G188" s="46">
        <f>if(ISNA(vlookup($A188, FantasyPro!$B$2:$E$318, 4, false)), 0, vlookup($A188, FantasyPro!$B$2:$E$318, 4, false))</f>
        <v>0</v>
      </c>
      <c r="H188" s="46">
        <f>if(ISNA(vlookup($A188, RotoWire!$B$2:$E$681, 4, false)), 0, vlookup($A188, RotoWire!$B$2:$E$681, 4, false))</f>
        <v>0</v>
      </c>
      <c r="I188" s="47">
        <f t="shared" si="1"/>
        <v>0.75</v>
      </c>
      <c r="J188" s="47">
        <f t="shared" si="2"/>
        <v>3</v>
      </c>
    </row>
    <row r="189">
      <c r="A189" s="44" t="s">
        <v>209</v>
      </c>
      <c r="B189" s="45" t="s">
        <v>49</v>
      </c>
      <c r="C189" s="45" t="s">
        <v>43</v>
      </c>
      <c r="D189" s="45">
        <v>5.0</v>
      </c>
      <c r="E189" s="46">
        <f>if(ISNA(vlookup($A189, ESPN!$B$2:$E$281, 4, false)), 0, vlookup($A189, ESPN!$B$2:$E$281, 4, false))</f>
        <v>0</v>
      </c>
      <c r="F189" s="46">
        <f>if(ISNA(vlookup($A189, Scout.com!$B$2:$E$239, 4, false)), 0, vlookup($A189, Scout.com!$B$2:$E$239, 4, false))</f>
        <v>0</v>
      </c>
      <c r="G189" s="46">
        <f>if(ISNA(vlookup($A189, FantasyPro!$B$2:$E$318, 4, false)), 0, vlookup($A189, FantasyPro!$B$2:$E$318, 4, false))</f>
        <v>2</v>
      </c>
      <c r="H189" s="46">
        <f>if(ISNA(vlookup($A189, RotoWire!$B$2:$E$681, 4, false)), 0, vlookup($A189, RotoWire!$B$2:$E$681, 4, false))</f>
        <v>0</v>
      </c>
      <c r="I189" s="47">
        <f t="shared" si="1"/>
        <v>0.5</v>
      </c>
      <c r="J189" s="47">
        <f t="shared" si="2"/>
        <v>2</v>
      </c>
    </row>
    <row r="190">
      <c r="A190" s="44" t="s">
        <v>175</v>
      </c>
      <c r="B190" s="45" t="s">
        <v>70</v>
      </c>
      <c r="C190" s="45" t="s">
        <v>43</v>
      </c>
      <c r="D190" s="45">
        <v>11.0</v>
      </c>
      <c r="E190" s="46">
        <f>if(ISNA(vlookup($A190, ESPN!$B$2:$E$281, 4, false)), 0, vlookup($A190, ESPN!$B$2:$E$281, 4, false))</f>
        <v>1</v>
      </c>
      <c r="F190" s="46">
        <f>if(ISNA(vlookup($A190, Scout.com!$B$2:$E$239, 4, false)), 0, vlookup($A190, Scout.com!$B$2:$E$239, 4, false))</f>
        <v>0</v>
      </c>
      <c r="G190" s="46">
        <f>if(ISNA(vlookup($A190, FantasyPro!$B$2:$E$318, 4, false)), 0, vlookup($A190, FantasyPro!$B$2:$E$318, 4, false))</f>
        <v>1</v>
      </c>
      <c r="H190" s="46">
        <f>if(ISNA(vlookup($A190, RotoWire!$B$2:$E$681, 4, false)), 0, vlookup($A190, RotoWire!$B$2:$E$681, 4, false))</f>
        <v>0</v>
      </c>
      <c r="I190" s="47">
        <f t="shared" si="1"/>
        <v>0.5</v>
      </c>
      <c r="J190" s="47">
        <f t="shared" si="2"/>
        <v>1</v>
      </c>
    </row>
    <row r="191">
      <c r="A191" s="44" t="s">
        <v>230</v>
      </c>
      <c r="B191" s="45" t="s">
        <v>6</v>
      </c>
      <c r="C191" s="45" t="s">
        <v>219</v>
      </c>
      <c r="D191" s="45">
        <v>7.0</v>
      </c>
      <c r="E191" s="46">
        <f>if(ISNA(vlookup($A191, ESPN!$B$2:$E$281, 4, false)), 0, vlookup($A191, ESPN!$B$2:$E$281, 4, false))</f>
        <v>1</v>
      </c>
      <c r="F191" s="46">
        <f>if(ISNA(vlookup($A191, Scout.com!$B$2:$E$239, 4, false)), 0, vlookup($A191, Scout.com!$B$2:$E$239, 4, false))</f>
        <v>0</v>
      </c>
      <c r="G191" s="46">
        <f>if(ISNA(vlookup($A191, FantasyPro!$B$2:$E$318, 4, false)), 0, vlookup($A191, FantasyPro!$B$2:$E$318, 4, false))</f>
        <v>1</v>
      </c>
      <c r="H191" s="46">
        <f>if(ISNA(vlookup($A191, RotoWire!$B$2:$E$681, 4, false)), 0, vlookup($A191, RotoWire!$B$2:$E$681, 4, false))</f>
        <v>0</v>
      </c>
      <c r="I191" s="47">
        <f t="shared" si="1"/>
        <v>0.5</v>
      </c>
      <c r="J191" s="47">
        <f t="shared" si="2"/>
        <v>1</v>
      </c>
    </row>
    <row r="192">
      <c r="A192" s="44" t="s">
        <v>274</v>
      </c>
      <c r="B192" s="45" t="s">
        <v>13</v>
      </c>
      <c r="C192" s="45" t="s">
        <v>17</v>
      </c>
      <c r="D192" s="45">
        <v>8.0</v>
      </c>
      <c r="E192" s="46">
        <f>if(ISNA(vlookup($A192, ESPN!$B$2:$E$281, 4, false)), 0, vlookup($A192, ESPN!$B$2:$E$281, 4, false))</f>
        <v>0</v>
      </c>
      <c r="F192" s="46">
        <f>if(ISNA(vlookup($A192, Scout.com!$B$2:$E$239, 4, false)), 0, vlookup($A192, Scout.com!$B$2:$E$239, 4, false))</f>
        <v>0</v>
      </c>
      <c r="G192" s="46">
        <f>if(ISNA(vlookup($A192, FantasyPro!$B$2:$E$318, 4, false)), 0, vlookup($A192, FantasyPro!$B$2:$E$318, 4, false))</f>
        <v>0</v>
      </c>
      <c r="H192" s="46">
        <f>if(ISNA(vlookup($A192, RotoWire!$B$2:$E$681, 4, false)), 0, vlookup($A192, RotoWire!$B$2:$E$681, 4, false))</f>
        <v>2</v>
      </c>
      <c r="I192" s="47">
        <f t="shared" si="1"/>
        <v>0.5</v>
      </c>
      <c r="J192" s="47">
        <f t="shared" si="2"/>
        <v>2</v>
      </c>
    </row>
    <row r="193">
      <c r="A193" s="44" t="s">
        <v>174</v>
      </c>
      <c r="B193" s="45" t="s">
        <v>45</v>
      </c>
      <c r="C193" s="45" t="s">
        <v>17</v>
      </c>
      <c r="D193" s="45">
        <v>11.0</v>
      </c>
      <c r="E193" s="46">
        <f>if(ISNA(vlookup($A193, ESPN!$B$2:$E$281, 4, false)), 0, vlookup($A193, ESPN!$B$2:$E$281, 4, false))</f>
        <v>1</v>
      </c>
      <c r="F193" s="46">
        <f>if(ISNA(vlookup($A193, Scout.com!$B$2:$E$239, 4, false)), 0, vlookup($A193, Scout.com!$B$2:$E$239, 4, false))</f>
        <v>0</v>
      </c>
      <c r="G193" s="46">
        <f>if(ISNA(vlookup($A193, FantasyPro!$B$2:$E$318, 4, false)), 0, vlookup($A193, FantasyPro!$B$2:$E$318, 4, false))</f>
        <v>1</v>
      </c>
      <c r="H193" s="46">
        <f>if(ISNA(vlookup($A193, RotoWire!$B$2:$E$681, 4, false)), 0, vlookup($A193, RotoWire!$B$2:$E$681, 4, false))</f>
        <v>0</v>
      </c>
      <c r="I193" s="47">
        <f t="shared" si="1"/>
        <v>0.5</v>
      </c>
      <c r="J193" s="47">
        <f t="shared" si="2"/>
        <v>1</v>
      </c>
    </row>
    <row r="194">
      <c r="A194" s="44" t="s">
        <v>377</v>
      </c>
      <c r="B194" s="48" t="s">
        <v>30</v>
      </c>
      <c r="C194" s="45" t="s">
        <v>17</v>
      </c>
      <c r="D194" s="45">
        <v>9.0</v>
      </c>
      <c r="E194" s="46">
        <f>if(ISNA(vlookup($A194, ESPN!$B$2:$E$281, 4, false)), 0, vlookup($A194, ESPN!$B$2:$E$281, 4, false))</f>
        <v>0</v>
      </c>
      <c r="F194" s="46">
        <f>if(ISNA(vlookup($A194, Scout.com!$B$2:$E$239, 4, false)), 0, vlookup($A194, Scout.com!$B$2:$E$239, 4, false))</f>
        <v>0</v>
      </c>
      <c r="G194" s="46">
        <f>if(ISNA(vlookup($A194, FantasyPro!$B$2:$E$318, 4, false)), 0, vlookup($A194, FantasyPro!$B$2:$E$318, 4, false))</f>
        <v>0</v>
      </c>
      <c r="H194" s="46">
        <f>if(ISNA(vlookup($A194, RotoWire!$B$2:$E$681, 4, false)), 0, vlookup($A194, RotoWire!$B$2:$E$681, 4, false))</f>
        <v>2</v>
      </c>
      <c r="I194" s="47">
        <f t="shared" si="1"/>
        <v>0.5</v>
      </c>
      <c r="J194" s="47">
        <f t="shared" si="2"/>
        <v>2</v>
      </c>
    </row>
    <row r="195">
      <c r="A195" s="44" t="s">
        <v>44</v>
      </c>
      <c r="B195" s="45" t="s">
        <v>45</v>
      </c>
      <c r="C195" s="45" t="s">
        <v>7</v>
      </c>
      <c r="D195" s="45">
        <v>11.0</v>
      </c>
      <c r="E195" s="46">
        <f>if(ISNA(vlookup($A195, ESPN!$B$2:$E$281, 4, false)), 0, vlookup($A195, ESPN!$B$2:$E$281, 4, false))</f>
        <v>0</v>
      </c>
      <c r="F195" s="46">
        <f>if(ISNA(vlookup($A195, Scout.com!$B$2:$E$239, 4, false)), 0, vlookup($A195, Scout.com!$B$2:$E$239, 4, false))</f>
        <v>0</v>
      </c>
      <c r="G195" s="46">
        <f>if(ISNA(vlookup($A195, FantasyPro!$B$2:$E$318, 4, false)), 0, vlookup($A195, FantasyPro!$B$2:$E$318, 4, false))</f>
        <v>2</v>
      </c>
      <c r="H195" s="46">
        <f>if(ISNA(vlookup($A195, RotoWire!$B$2:$E$681, 4, false)), 0, vlookup($A195, RotoWire!$B$2:$E$681, 4, false))</f>
        <v>0</v>
      </c>
      <c r="I195" s="47">
        <f t="shared" si="1"/>
        <v>0.5</v>
      </c>
      <c r="J195" s="47">
        <f t="shared" si="2"/>
        <v>2</v>
      </c>
    </row>
    <row r="196">
      <c r="A196" s="44" t="s">
        <v>236</v>
      </c>
      <c r="B196" s="45" t="s">
        <v>41</v>
      </c>
      <c r="C196" s="45" t="s">
        <v>219</v>
      </c>
      <c r="D196" s="45">
        <v>4.0</v>
      </c>
      <c r="E196" s="46">
        <f>if(ISNA(vlookup($A196, ESPN!$B$2:$E$281, 4, false)), 0, vlookup($A196, ESPN!$B$2:$E$281, 4, false))</f>
        <v>1</v>
      </c>
      <c r="F196" s="46">
        <f>if(ISNA(vlookup($A196, Scout.com!$B$2:$E$239, 4, false)), 0, vlookup($A196, Scout.com!$B$2:$E$239, 4, false))</f>
        <v>0</v>
      </c>
      <c r="G196" s="46">
        <f>if(ISNA(vlookup($A196, FantasyPro!$B$2:$E$318, 4, false)), 0, vlookup($A196, FantasyPro!$B$2:$E$318, 4, false))</f>
        <v>1</v>
      </c>
      <c r="H196" s="46">
        <f>if(ISNA(vlookup($A196, RotoWire!$B$2:$E$681, 4, false)), 0, vlookup($A196, RotoWire!$B$2:$E$681, 4, false))</f>
        <v>0</v>
      </c>
      <c r="I196" s="47">
        <f t="shared" si="1"/>
        <v>0.5</v>
      </c>
      <c r="J196" s="47">
        <f t="shared" si="2"/>
        <v>1</v>
      </c>
    </row>
    <row r="197">
      <c r="A197" s="44" t="s">
        <v>218</v>
      </c>
      <c r="B197" s="45" t="s">
        <v>9</v>
      </c>
      <c r="C197" s="45" t="s">
        <v>219</v>
      </c>
      <c r="D197" s="45">
        <v>12.0</v>
      </c>
      <c r="E197" s="46">
        <f>if(ISNA(vlookup($A197, ESPN!$B$2:$E$281, 4, false)), 0, vlookup($A197, ESPN!$B$2:$E$281, 4, false))</f>
        <v>1</v>
      </c>
      <c r="F197" s="46">
        <f>if(ISNA(vlookup($A197, Scout.com!$B$2:$E$239, 4, false)), 0, vlookup($A197, Scout.com!$B$2:$E$239, 4, false))</f>
        <v>0</v>
      </c>
      <c r="G197" s="46">
        <f>if(ISNA(vlookup($A197, FantasyPro!$B$2:$E$318, 4, false)), 0, vlookup($A197, FantasyPro!$B$2:$E$318, 4, false))</f>
        <v>1</v>
      </c>
      <c r="H197" s="46">
        <f>if(ISNA(vlookup($A197, RotoWire!$B$2:$E$681, 4, false)), 0, vlookup($A197, RotoWire!$B$2:$E$681, 4, false))</f>
        <v>0</v>
      </c>
      <c r="I197" s="47">
        <f t="shared" si="1"/>
        <v>0.5</v>
      </c>
      <c r="J197" s="47">
        <f t="shared" si="2"/>
        <v>1</v>
      </c>
    </row>
    <row r="198">
      <c r="A198" s="44" t="s">
        <v>234</v>
      </c>
      <c r="B198" s="45" t="s">
        <v>28</v>
      </c>
      <c r="C198" s="45" t="s">
        <v>219</v>
      </c>
      <c r="D198" s="45">
        <v>12.0</v>
      </c>
      <c r="E198" s="46">
        <f>if(ISNA(vlookup($A198, ESPN!$B$2:$E$281, 4, false)), 0, vlookup($A198, ESPN!$B$2:$E$281, 4, false))</f>
        <v>1</v>
      </c>
      <c r="F198" s="46">
        <f>if(ISNA(vlookup($A198, Scout.com!$B$2:$E$239, 4, false)), 0, vlookup($A198, Scout.com!$B$2:$E$239, 4, false))</f>
        <v>0</v>
      </c>
      <c r="G198" s="46">
        <f>if(ISNA(vlookup($A198, FantasyPro!$B$2:$E$318, 4, false)), 0, vlookup($A198, FantasyPro!$B$2:$E$318, 4, false))</f>
        <v>1</v>
      </c>
      <c r="H198" s="46">
        <f>if(ISNA(vlookup($A198, RotoWire!$B$2:$E$681, 4, false)), 0, vlookup($A198, RotoWire!$B$2:$E$681, 4, false))</f>
        <v>0</v>
      </c>
      <c r="I198" s="47">
        <f t="shared" si="1"/>
        <v>0.5</v>
      </c>
      <c r="J198" s="47">
        <f t="shared" si="2"/>
        <v>1</v>
      </c>
    </row>
    <row r="199">
      <c r="A199" s="44" t="s">
        <v>232</v>
      </c>
      <c r="B199" s="45" t="s">
        <v>60</v>
      </c>
      <c r="C199" s="45" t="s">
        <v>219</v>
      </c>
      <c r="D199" s="45">
        <v>9.0</v>
      </c>
      <c r="E199" s="46">
        <f>if(ISNA(vlookup($A199, ESPN!$B$2:$E$281, 4, false)), 0, vlookup($A199, ESPN!$B$2:$E$281, 4, false))</f>
        <v>1</v>
      </c>
      <c r="F199" s="46">
        <f>if(ISNA(vlookup($A199, Scout.com!$B$2:$E$239, 4, false)), 0, vlookup($A199, Scout.com!$B$2:$E$239, 4, false))</f>
        <v>0</v>
      </c>
      <c r="G199" s="46">
        <f>if(ISNA(vlookup($A199, FantasyPro!$B$2:$E$318, 4, false)), 0, vlookup($A199, FantasyPro!$B$2:$E$318, 4, false))</f>
        <v>1</v>
      </c>
      <c r="H199" s="46">
        <f>if(ISNA(vlookup($A199, RotoWire!$B$2:$E$681, 4, false)), 0, vlookup($A199, RotoWire!$B$2:$E$681, 4, false))</f>
        <v>0</v>
      </c>
      <c r="I199" s="47">
        <f t="shared" si="1"/>
        <v>0.5</v>
      </c>
      <c r="J199" s="47">
        <f t="shared" si="2"/>
        <v>1</v>
      </c>
    </row>
    <row r="200">
      <c r="A200" s="44" t="s">
        <v>240</v>
      </c>
      <c r="B200" s="45" t="s">
        <v>75</v>
      </c>
      <c r="C200" s="45" t="s">
        <v>43</v>
      </c>
      <c r="D200" s="45">
        <v>7.0</v>
      </c>
      <c r="E200" s="46">
        <f>if(ISNA(vlookup($A200, ESPN!$B$2:$E$281, 4, false)), 0, vlookup($A200, ESPN!$B$2:$E$281, 4, false))</f>
        <v>0</v>
      </c>
      <c r="F200" s="46">
        <f>if(ISNA(vlookup($A200, Scout.com!$B$2:$E$239, 4, false)), 0, vlookup($A200, Scout.com!$B$2:$E$239, 4, false))</f>
        <v>0</v>
      </c>
      <c r="G200" s="46">
        <f>if(ISNA(vlookup($A200, FantasyPro!$B$2:$E$318, 4, false)), 0, vlookup($A200, FantasyPro!$B$2:$E$318, 4, false))</f>
        <v>2</v>
      </c>
      <c r="H200" s="46">
        <f>if(ISNA(vlookup($A200, RotoWire!$B$2:$E$681, 4, false)), 0, vlookup($A200, RotoWire!$B$2:$E$681, 4, false))</f>
        <v>0</v>
      </c>
      <c r="I200" s="47">
        <f t="shared" si="1"/>
        <v>0.5</v>
      </c>
      <c r="J200" s="47">
        <f t="shared" si="2"/>
        <v>2</v>
      </c>
    </row>
    <row r="201">
      <c r="A201" s="44" t="s">
        <v>251</v>
      </c>
      <c r="B201" s="45" t="s">
        <v>88</v>
      </c>
      <c r="C201" s="45" t="s">
        <v>7</v>
      </c>
      <c r="D201" s="45">
        <v>10.0</v>
      </c>
      <c r="E201" s="46">
        <f>if(ISNA(vlookup($A201, ESPN!$B$2:$E$281, 4, false)), 0, vlookup($A201, ESPN!$B$2:$E$281, 4, false))</f>
        <v>0</v>
      </c>
      <c r="F201" s="46">
        <f>if(ISNA(vlookup($A201, Scout.com!$B$2:$E$239, 4, false)), 0, vlookup($A201, Scout.com!$B$2:$E$239, 4, false))</f>
        <v>0</v>
      </c>
      <c r="G201" s="46">
        <f>if(ISNA(vlookup($A201, FantasyPro!$B$2:$E$318, 4, false)), 0, vlookup($A201, FantasyPro!$B$2:$E$318, 4, false))</f>
        <v>2</v>
      </c>
      <c r="H201" s="46">
        <f>if(ISNA(vlookup($A201, RotoWire!$B$2:$E$681, 4, false)), 0, vlookup($A201, RotoWire!$B$2:$E$681, 4, false))</f>
        <v>0</v>
      </c>
      <c r="I201" s="47">
        <f t="shared" si="1"/>
        <v>0.5</v>
      </c>
      <c r="J201" s="47">
        <f t="shared" si="2"/>
        <v>2</v>
      </c>
    </row>
    <row r="202">
      <c r="A202" s="44" t="s">
        <v>203</v>
      </c>
      <c r="B202" s="45" t="s">
        <v>88</v>
      </c>
      <c r="C202" s="45" t="s">
        <v>17</v>
      </c>
      <c r="D202" s="45">
        <v>10.0</v>
      </c>
      <c r="E202" s="46">
        <f>if(ISNA(vlookup($A202, ESPN!$B$2:$E$281, 4, false)), 0, vlookup($A202, ESPN!$B$2:$E$281, 4, false))</f>
        <v>0</v>
      </c>
      <c r="F202" s="46">
        <f>if(ISNA(vlookup($A202, Scout.com!$B$2:$E$239, 4, false)), 0, vlookup($A202, Scout.com!$B$2:$E$239, 4, false))</f>
        <v>0</v>
      </c>
      <c r="G202" s="46">
        <f>if(ISNA(vlookup($A202, FantasyPro!$B$2:$E$318, 4, false)), 0, vlookup($A202, FantasyPro!$B$2:$E$318, 4, false))</f>
        <v>0</v>
      </c>
      <c r="H202" s="46">
        <f>if(ISNA(vlookup($A202, RotoWire!$B$2:$E$681, 4, false)), 0, vlookup($A202, RotoWire!$B$2:$E$681, 4, false))</f>
        <v>2</v>
      </c>
      <c r="I202" s="47">
        <f t="shared" si="1"/>
        <v>0.5</v>
      </c>
      <c r="J202" s="47">
        <f t="shared" si="2"/>
        <v>2</v>
      </c>
    </row>
    <row r="203">
      <c r="A203" s="44" t="s">
        <v>208</v>
      </c>
      <c r="B203" s="48" t="s">
        <v>30</v>
      </c>
      <c r="C203" s="45" t="s">
        <v>17</v>
      </c>
      <c r="D203" s="45">
        <v>9.0</v>
      </c>
      <c r="E203" s="46">
        <f>if(ISNA(vlookup($A203, ESPN!$B$2:$E$281, 4, false)), 0, vlookup($A203, ESPN!$B$2:$E$281, 4, false))</f>
        <v>0</v>
      </c>
      <c r="F203" s="46">
        <f>if(ISNA(vlookup($A203, Scout.com!$B$2:$E$239, 4, false)), 0, vlookup($A203, Scout.com!$B$2:$E$239, 4, false))</f>
        <v>0</v>
      </c>
      <c r="G203" s="46">
        <f>if(ISNA(vlookup($A203, FantasyPro!$B$2:$E$318, 4, false)), 0, vlookup($A203, FantasyPro!$B$2:$E$318, 4, false))</f>
        <v>0</v>
      </c>
      <c r="H203" s="46">
        <f>if(ISNA(vlookup($A203, RotoWire!$B$2:$E$681, 4, false)), 0, vlookup($A203, RotoWire!$B$2:$E$681, 4, false))</f>
        <v>2</v>
      </c>
      <c r="I203" s="47">
        <f t="shared" si="1"/>
        <v>0.5</v>
      </c>
      <c r="J203" s="47">
        <f t="shared" si="2"/>
        <v>2</v>
      </c>
    </row>
    <row r="204">
      <c r="A204" s="44" t="s">
        <v>330</v>
      </c>
      <c r="B204" s="45" t="s">
        <v>19</v>
      </c>
      <c r="C204" s="45" t="s">
        <v>97</v>
      </c>
      <c r="D204" s="45">
        <v>9.0</v>
      </c>
      <c r="E204" s="46">
        <f>if(ISNA(vlookup($A204, ESPN!$B$2:$E$281, 4, false)), 0, vlookup($A204, ESPN!$B$2:$E$281, 4, false))</f>
        <v>0</v>
      </c>
      <c r="F204" s="46">
        <f>if(ISNA(vlookup($A204, Scout.com!$B$2:$E$239, 4, false)), 0, vlookup($A204, Scout.com!$B$2:$E$239, 4, false))</f>
        <v>2</v>
      </c>
      <c r="G204" s="46">
        <f>if(ISNA(vlookup($A204, FantasyPro!$B$2:$E$318, 4, false)), 0, vlookup($A204, FantasyPro!$B$2:$E$318, 4, false))</f>
        <v>0</v>
      </c>
      <c r="H204" s="46">
        <f>if(ISNA(vlookup($A204, RotoWire!$B$2:$E$681, 4, false)), 0, vlookup($A204, RotoWire!$B$2:$E$681, 4, false))</f>
        <v>0</v>
      </c>
      <c r="I204" s="47">
        <f t="shared" si="1"/>
        <v>0.5</v>
      </c>
      <c r="J204" s="47">
        <f t="shared" si="2"/>
        <v>2</v>
      </c>
    </row>
    <row r="205">
      <c r="A205" s="44" t="s">
        <v>142</v>
      </c>
      <c r="B205" s="48" t="s">
        <v>30</v>
      </c>
      <c r="C205" s="45" t="s">
        <v>17</v>
      </c>
      <c r="D205" s="45">
        <v>9.0</v>
      </c>
      <c r="E205" s="46">
        <f>if(ISNA(vlookup($A205, ESPN!$B$2:$E$281, 4, false)), 0, vlookup($A205, ESPN!$B$2:$E$281, 4, false))</f>
        <v>1</v>
      </c>
      <c r="F205" s="46">
        <f>if(ISNA(vlookup($A205, Scout.com!$B$2:$E$239, 4, false)), 0, vlookup($A205, Scout.com!$B$2:$E$239, 4, false))</f>
        <v>0</v>
      </c>
      <c r="G205" s="46">
        <f>if(ISNA(vlookup($A205, FantasyPro!$B$2:$E$318, 4, false)), 0, vlookup($A205, FantasyPro!$B$2:$E$318, 4, false))</f>
        <v>0</v>
      </c>
      <c r="H205" s="46">
        <f>if(ISNA(vlookup($A205, RotoWire!$B$2:$E$681, 4, false)), 0, vlookup($A205, RotoWire!$B$2:$E$681, 4, false))</f>
        <v>1</v>
      </c>
      <c r="I205" s="47">
        <f t="shared" si="1"/>
        <v>0.5</v>
      </c>
      <c r="J205" s="47">
        <f t="shared" si="2"/>
        <v>1</v>
      </c>
    </row>
    <row r="206">
      <c r="A206" s="44" t="s">
        <v>212</v>
      </c>
      <c r="B206" s="45" t="s">
        <v>75</v>
      </c>
      <c r="C206" s="45" t="s">
        <v>17</v>
      </c>
      <c r="D206" s="45">
        <v>7.0</v>
      </c>
      <c r="E206" s="46">
        <f>if(ISNA(vlookup($A206, ESPN!$B$2:$E$281, 4, false)), 0, vlookup($A206, ESPN!$B$2:$E$281, 4, false))</f>
        <v>0</v>
      </c>
      <c r="F206" s="46">
        <f>if(ISNA(vlookup($A206, Scout.com!$B$2:$E$239, 4, false)), 0, vlookup($A206, Scout.com!$B$2:$E$239, 4, false))</f>
        <v>0</v>
      </c>
      <c r="G206" s="46">
        <f>if(ISNA(vlookup($A206, FantasyPro!$B$2:$E$318, 4, false)), 0, vlookup($A206, FantasyPro!$B$2:$E$318, 4, false))</f>
        <v>0</v>
      </c>
      <c r="H206" s="46">
        <f>if(ISNA(vlookup($A206, RotoWire!$B$2:$E$681, 4, false)), 0, vlookup($A206, RotoWire!$B$2:$E$681, 4, false))</f>
        <v>2</v>
      </c>
      <c r="I206" s="47">
        <f t="shared" si="1"/>
        <v>0.5</v>
      </c>
      <c r="J206" s="47">
        <f t="shared" si="2"/>
        <v>2</v>
      </c>
    </row>
    <row r="207">
      <c r="A207" s="44" t="s">
        <v>332</v>
      </c>
      <c r="B207" s="45" t="s">
        <v>6</v>
      </c>
      <c r="C207" s="45" t="s">
        <v>97</v>
      </c>
      <c r="D207" s="45">
        <v>7.0</v>
      </c>
      <c r="E207" s="46">
        <f>if(ISNA(vlookup($A207, ESPN!$B$2:$E$281, 4, false)), 0, vlookup($A207, ESPN!$B$2:$E$281, 4, false))</f>
        <v>0</v>
      </c>
      <c r="F207" s="46">
        <f>if(ISNA(vlookup($A207, Scout.com!$B$2:$E$239, 4, false)), 0, vlookup($A207, Scout.com!$B$2:$E$239, 4, false))</f>
        <v>2</v>
      </c>
      <c r="G207" s="46">
        <f>if(ISNA(vlookup($A207, FantasyPro!$B$2:$E$318, 4, false)), 0, vlookup($A207, FantasyPro!$B$2:$E$318, 4, false))</f>
        <v>0</v>
      </c>
      <c r="H207" s="46">
        <f>if(ISNA(vlookup($A207, RotoWire!$B$2:$E$681, 4, false)), 0, vlookup($A207, RotoWire!$B$2:$E$681, 4, false))</f>
        <v>0</v>
      </c>
      <c r="I207" s="47">
        <f t="shared" si="1"/>
        <v>0.5</v>
      </c>
      <c r="J207" s="47">
        <f t="shared" si="2"/>
        <v>2</v>
      </c>
    </row>
    <row r="208">
      <c r="A208" s="44" t="s">
        <v>228</v>
      </c>
      <c r="B208" s="45" t="s">
        <v>23</v>
      </c>
      <c r="C208" s="45" t="s">
        <v>219</v>
      </c>
      <c r="D208" s="45">
        <v>8.0</v>
      </c>
      <c r="E208" s="46">
        <f>if(ISNA(vlookup($A208, ESPN!$B$2:$E$281, 4, false)), 0, vlookup($A208, ESPN!$B$2:$E$281, 4, false))</f>
        <v>1</v>
      </c>
      <c r="F208" s="46">
        <f>if(ISNA(vlookup($A208, Scout.com!$B$2:$E$239, 4, false)), 0, vlookup($A208, Scout.com!$B$2:$E$239, 4, false))</f>
        <v>0</v>
      </c>
      <c r="G208" s="46">
        <f>if(ISNA(vlookup($A208, FantasyPro!$B$2:$E$318, 4, false)), 0, vlookup($A208, FantasyPro!$B$2:$E$318, 4, false))</f>
        <v>1</v>
      </c>
      <c r="H208" s="46">
        <f>if(ISNA(vlookup($A208, RotoWire!$B$2:$E$681, 4, false)), 0, vlookup($A208, RotoWire!$B$2:$E$681, 4, false))</f>
        <v>0</v>
      </c>
      <c r="I208" s="47">
        <f t="shared" si="1"/>
        <v>0.5</v>
      </c>
      <c r="J208" s="47">
        <f t="shared" si="2"/>
        <v>1</v>
      </c>
    </row>
    <row r="209">
      <c r="A209" s="44" t="s">
        <v>233</v>
      </c>
      <c r="B209" s="45" t="s">
        <v>77</v>
      </c>
      <c r="C209" s="45" t="s">
        <v>219</v>
      </c>
      <c r="D209" s="45">
        <v>6.0</v>
      </c>
      <c r="E209" s="46">
        <f>if(ISNA(vlookup($A209, ESPN!$B$2:$E$281, 4, false)), 0, vlookup($A209, ESPN!$B$2:$E$281, 4, false))</f>
        <v>1</v>
      </c>
      <c r="F209" s="46">
        <f>if(ISNA(vlookup($A209, Scout.com!$B$2:$E$239, 4, false)), 0, vlookup($A209, Scout.com!$B$2:$E$239, 4, false))</f>
        <v>0</v>
      </c>
      <c r="G209" s="46">
        <f>if(ISNA(vlookup($A209, FantasyPro!$B$2:$E$318, 4, false)), 0, vlookup($A209, FantasyPro!$B$2:$E$318, 4, false))</f>
        <v>1</v>
      </c>
      <c r="H209" s="46">
        <f>if(ISNA(vlookup($A209, RotoWire!$B$2:$E$681, 4, false)), 0, vlookup($A209, RotoWire!$B$2:$E$681, 4, false))</f>
        <v>0</v>
      </c>
      <c r="I209" s="47">
        <f t="shared" si="1"/>
        <v>0.5</v>
      </c>
      <c r="J209" s="47">
        <f t="shared" si="2"/>
        <v>1</v>
      </c>
    </row>
    <row r="210">
      <c r="A210" s="44" t="s">
        <v>157</v>
      </c>
      <c r="B210" s="45" t="s">
        <v>123</v>
      </c>
      <c r="C210" s="45" t="s">
        <v>17</v>
      </c>
      <c r="D210" s="45">
        <v>4.0</v>
      </c>
      <c r="E210" s="46">
        <f>if(ISNA(vlookup($A210, ESPN!$B$2:$E$281, 4, false)), 0, vlookup($A210, ESPN!$B$2:$E$281, 4, false))</f>
        <v>1</v>
      </c>
      <c r="F210" s="46">
        <f>if(ISNA(vlookup($A210, Scout.com!$B$2:$E$239, 4, false)), 0, vlookup($A210, Scout.com!$B$2:$E$239, 4, false))</f>
        <v>0</v>
      </c>
      <c r="G210" s="46">
        <f>if(ISNA(vlookup($A210, FantasyPro!$B$2:$E$318, 4, false)), 0, vlookup($A210, FantasyPro!$B$2:$E$318, 4, false))</f>
        <v>0</v>
      </c>
      <c r="H210" s="46">
        <f>if(ISNA(vlookup($A210, RotoWire!$B$2:$E$681, 4, false)), 0, vlookup($A210, RotoWire!$B$2:$E$681, 4, false))</f>
        <v>1</v>
      </c>
      <c r="I210" s="47">
        <f t="shared" si="1"/>
        <v>0.5</v>
      </c>
      <c r="J210" s="47">
        <f t="shared" si="2"/>
        <v>1</v>
      </c>
    </row>
    <row r="211">
      <c r="A211" s="44" t="s">
        <v>340</v>
      </c>
      <c r="B211" s="45" t="s">
        <v>6</v>
      </c>
      <c r="C211" s="45" t="s">
        <v>199</v>
      </c>
      <c r="D211" s="45">
        <v>7.0</v>
      </c>
      <c r="E211" s="46">
        <f>if(ISNA(vlookup($A211, ESPN!$B$2:$E$281, 4, false)), 0, vlookup($A211, ESPN!$B$2:$E$281, 4, false))</f>
        <v>0</v>
      </c>
      <c r="F211" s="46">
        <f>if(ISNA(vlookup($A211, Scout.com!$B$2:$E$239, 4, false)), 0, vlookup($A211, Scout.com!$B$2:$E$239, 4, false))</f>
        <v>0</v>
      </c>
      <c r="G211" s="46">
        <f>if(ISNA(vlookup($A211, FantasyPro!$B$2:$E$318, 4, false)), 0, vlookup($A211, FantasyPro!$B$2:$E$318, 4, false))</f>
        <v>1</v>
      </c>
      <c r="H211" s="46">
        <f>if(ISNA(vlookup($A211, RotoWire!$B$2:$E$681, 4, false)), 0, vlookup($A211, RotoWire!$B$2:$E$681, 4, false))</f>
        <v>1</v>
      </c>
      <c r="I211" s="47">
        <f t="shared" si="1"/>
        <v>0.5</v>
      </c>
      <c r="J211" s="47">
        <f t="shared" si="2"/>
        <v>1</v>
      </c>
    </row>
    <row r="212">
      <c r="A212" s="44" t="s">
        <v>231</v>
      </c>
      <c r="B212" s="45" t="s">
        <v>72</v>
      </c>
      <c r="C212" s="45" t="s">
        <v>219</v>
      </c>
      <c r="D212" s="45">
        <v>11.0</v>
      </c>
      <c r="E212" s="46">
        <f>if(ISNA(vlookup($A212, ESPN!$B$2:$E$281, 4, false)), 0, vlookup($A212, ESPN!$B$2:$E$281, 4, false))</f>
        <v>1</v>
      </c>
      <c r="F212" s="46">
        <f>if(ISNA(vlookup($A212, Scout.com!$B$2:$E$239, 4, false)), 0, vlookup($A212, Scout.com!$B$2:$E$239, 4, false))</f>
        <v>0</v>
      </c>
      <c r="G212" s="46">
        <f>if(ISNA(vlookup($A212, FantasyPro!$B$2:$E$318, 4, false)), 0, vlookup($A212, FantasyPro!$B$2:$E$318, 4, false))</f>
        <v>1</v>
      </c>
      <c r="H212" s="46">
        <f>if(ISNA(vlookup($A212, RotoWire!$B$2:$E$681, 4, false)), 0, vlookup($A212, RotoWire!$B$2:$E$681, 4, false))</f>
        <v>0</v>
      </c>
      <c r="I212" s="47">
        <f t="shared" si="1"/>
        <v>0.5</v>
      </c>
      <c r="J212" s="47">
        <f t="shared" si="2"/>
        <v>1</v>
      </c>
    </row>
    <row r="213">
      <c r="A213" s="44" t="s">
        <v>333</v>
      </c>
      <c r="B213" s="45" t="s">
        <v>65</v>
      </c>
      <c r="C213" s="45" t="s">
        <v>199</v>
      </c>
      <c r="D213" s="45">
        <v>7.0</v>
      </c>
      <c r="E213" s="46">
        <f>if(ISNA(vlookup($A213, ESPN!$B$2:$E$281, 4, false)), 0, vlookup($A213, ESPN!$B$2:$E$281, 4, false))</f>
        <v>0</v>
      </c>
      <c r="F213" s="46">
        <f>if(ISNA(vlookup($A213, Scout.com!$B$2:$E$239, 4, false)), 0, vlookup($A213, Scout.com!$B$2:$E$239, 4, false))</f>
        <v>2</v>
      </c>
      <c r="G213" s="46">
        <f>if(ISNA(vlookup($A213, FantasyPro!$B$2:$E$318, 4, false)), 0, vlookup($A213, FantasyPro!$B$2:$E$318, 4, false))</f>
        <v>0</v>
      </c>
      <c r="H213" s="46">
        <f>if(ISNA(vlookup($A213, RotoWire!$B$2:$E$681, 4, false)), 0, vlookup($A213, RotoWire!$B$2:$E$681, 4, false))</f>
        <v>0</v>
      </c>
      <c r="I213" s="47">
        <f t="shared" si="1"/>
        <v>0.5</v>
      </c>
      <c r="J213" s="47">
        <f t="shared" si="2"/>
        <v>2</v>
      </c>
    </row>
    <row r="214">
      <c r="A214" s="44" t="s">
        <v>220</v>
      </c>
      <c r="B214" s="45" t="s">
        <v>15</v>
      </c>
      <c r="C214" s="45" t="s">
        <v>219</v>
      </c>
      <c r="D214" s="45">
        <v>11.0</v>
      </c>
      <c r="E214" s="46">
        <f>if(ISNA(vlookup($A214, ESPN!$B$2:$E$281, 4, false)), 0, vlookup($A214, ESPN!$B$2:$E$281, 4, false))</f>
        <v>1</v>
      </c>
      <c r="F214" s="46">
        <f>if(ISNA(vlookup($A214, Scout.com!$B$2:$E$239, 4, false)), 0, vlookup($A214, Scout.com!$B$2:$E$239, 4, false))</f>
        <v>0</v>
      </c>
      <c r="G214" s="46">
        <f>if(ISNA(vlookup($A214, FantasyPro!$B$2:$E$318, 4, false)), 0, vlookup($A214, FantasyPro!$B$2:$E$318, 4, false))</f>
        <v>1</v>
      </c>
      <c r="H214" s="46">
        <f>if(ISNA(vlookup($A214, RotoWire!$B$2:$E$681, 4, false)), 0, vlookup($A214, RotoWire!$B$2:$E$681, 4, false))</f>
        <v>0</v>
      </c>
      <c r="I214" s="47">
        <f t="shared" si="1"/>
        <v>0.5</v>
      </c>
      <c r="J214" s="47">
        <f t="shared" si="2"/>
        <v>1</v>
      </c>
    </row>
    <row r="215">
      <c r="A215" s="44" t="s">
        <v>393</v>
      </c>
      <c r="B215" s="45" t="s">
        <v>83</v>
      </c>
      <c r="C215" s="45" t="s">
        <v>17</v>
      </c>
      <c r="D215" s="45">
        <v>8.0</v>
      </c>
      <c r="E215" s="46">
        <f>if(ISNA(vlookup($A215, ESPN!$B$2:$E$281, 4, false)), 0, vlookup($A215, ESPN!$B$2:$E$281, 4, false))</f>
        <v>0</v>
      </c>
      <c r="F215" s="46">
        <f>if(ISNA(vlookup($A215, Scout.com!$B$2:$E$239, 4, false)), 0, vlookup($A215, Scout.com!$B$2:$E$239, 4, false))</f>
        <v>0</v>
      </c>
      <c r="G215" s="46">
        <f>if(ISNA(vlookup($A215, FantasyPro!$B$2:$E$318, 4, false)), 0, vlookup($A215, FantasyPro!$B$2:$E$318, 4, false))</f>
        <v>0</v>
      </c>
      <c r="H215" s="46">
        <f>if(ISNA(vlookup($A215, RotoWire!$B$2:$E$681, 4, false)), 0, vlookup($A215, RotoWire!$B$2:$E$681, 4, false))</f>
        <v>2</v>
      </c>
      <c r="I215" s="47">
        <f t="shared" si="1"/>
        <v>0.5</v>
      </c>
      <c r="J215" s="47">
        <f t="shared" si="2"/>
        <v>2</v>
      </c>
    </row>
    <row r="216">
      <c r="A216" s="44" t="s">
        <v>339</v>
      </c>
      <c r="B216" s="45" t="s">
        <v>21</v>
      </c>
      <c r="C216" s="45" t="s">
        <v>17</v>
      </c>
      <c r="D216" s="45">
        <v>6.0</v>
      </c>
      <c r="E216" s="46">
        <f>if(ISNA(vlookup($A216, ESPN!$B$2:$E$281, 4, false)), 0, vlookup($A216, ESPN!$B$2:$E$281, 4, false))</f>
        <v>0</v>
      </c>
      <c r="F216" s="46">
        <f>if(ISNA(vlookup($A216, Scout.com!$B$2:$E$239, 4, false)), 0, vlookup($A216, Scout.com!$B$2:$E$239, 4, false))</f>
        <v>0</v>
      </c>
      <c r="G216" s="46">
        <f>if(ISNA(vlookup($A216, FantasyPro!$B$2:$E$318, 4, false)), 0, vlookup($A216, FantasyPro!$B$2:$E$318, 4, false))</f>
        <v>2</v>
      </c>
      <c r="H216" s="46">
        <f>if(ISNA(vlookup($A216, RotoWire!$B$2:$E$681, 4, false)), 0, vlookup($A216, RotoWire!$B$2:$E$681, 4, false))</f>
        <v>0</v>
      </c>
      <c r="I216" s="47">
        <f t="shared" si="1"/>
        <v>0.5</v>
      </c>
      <c r="J216" s="47">
        <f t="shared" si="2"/>
        <v>2</v>
      </c>
    </row>
    <row r="217">
      <c r="A217" s="44" t="s">
        <v>331</v>
      </c>
      <c r="B217" s="45" t="s">
        <v>21</v>
      </c>
      <c r="C217" s="45" t="s">
        <v>17</v>
      </c>
      <c r="D217" s="45">
        <v>6.0</v>
      </c>
      <c r="E217" s="46">
        <f>if(ISNA(vlookup($A217, ESPN!$B$2:$E$281, 4, false)), 0, vlookup($A217, ESPN!$B$2:$E$281, 4, false))</f>
        <v>0</v>
      </c>
      <c r="F217" s="46">
        <f>if(ISNA(vlookup($A217, Scout.com!$B$2:$E$239, 4, false)), 0, vlookup($A217, Scout.com!$B$2:$E$239, 4, false))</f>
        <v>2</v>
      </c>
      <c r="G217" s="46">
        <f>if(ISNA(vlookup($A217, FantasyPro!$B$2:$E$318, 4, false)), 0, vlookup($A217, FantasyPro!$B$2:$E$318, 4, false))</f>
        <v>0</v>
      </c>
      <c r="H217" s="46">
        <f>if(ISNA(vlookup($A217, RotoWire!$B$2:$E$681, 4, false)), 0, vlookup($A217, RotoWire!$B$2:$E$681, 4, false))</f>
        <v>0</v>
      </c>
      <c r="I217" s="47">
        <f t="shared" si="1"/>
        <v>0.5</v>
      </c>
      <c r="J217" s="47">
        <f t="shared" si="2"/>
        <v>2</v>
      </c>
    </row>
    <row r="218">
      <c r="A218" s="44" t="s">
        <v>178</v>
      </c>
      <c r="B218" s="45" t="s">
        <v>39</v>
      </c>
      <c r="C218" s="45" t="s">
        <v>43</v>
      </c>
      <c r="D218" s="45">
        <v>9.0</v>
      </c>
      <c r="E218" s="46">
        <f>if(ISNA(vlookup($A218, ESPN!$B$2:$E$281, 4, false)), 0, vlookup($A218, ESPN!$B$2:$E$281, 4, false))</f>
        <v>1</v>
      </c>
      <c r="F218" s="46">
        <f>if(ISNA(vlookup($A218, Scout.com!$B$2:$E$239, 4, false)), 0, vlookup($A218, Scout.com!$B$2:$E$239, 4, false))</f>
        <v>0</v>
      </c>
      <c r="G218" s="46">
        <f>if(ISNA(vlookup($A218, FantasyPro!$B$2:$E$318, 4, false)), 0, vlookup($A218, FantasyPro!$B$2:$E$318, 4, false))</f>
        <v>1</v>
      </c>
      <c r="H218" s="46">
        <f>if(ISNA(vlookup($A218, RotoWire!$B$2:$E$681, 4, false)), 0, vlookup($A218, RotoWire!$B$2:$E$681, 4, false))</f>
        <v>0</v>
      </c>
      <c r="I218" s="47">
        <f t="shared" si="1"/>
        <v>0.5</v>
      </c>
      <c r="J218" s="47">
        <f t="shared" si="2"/>
        <v>1</v>
      </c>
    </row>
    <row r="219">
      <c r="A219" s="44" t="s">
        <v>229</v>
      </c>
      <c r="B219" s="45" t="s">
        <v>21</v>
      </c>
      <c r="C219" s="45" t="s">
        <v>219</v>
      </c>
      <c r="D219" s="45">
        <v>6.0</v>
      </c>
      <c r="E219" s="46">
        <f>if(ISNA(vlookup($A219, ESPN!$B$2:$E$281, 4, false)), 0, vlookup($A219, ESPN!$B$2:$E$281, 4, false))</f>
        <v>1</v>
      </c>
      <c r="F219" s="46">
        <f>if(ISNA(vlookup($A219, Scout.com!$B$2:$E$239, 4, false)), 0, vlookup($A219, Scout.com!$B$2:$E$239, 4, false))</f>
        <v>0</v>
      </c>
      <c r="G219" s="46">
        <f>if(ISNA(vlookup($A219, FantasyPro!$B$2:$E$318, 4, false)), 0, vlookup($A219, FantasyPro!$B$2:$E$318, 4, false))</f>
        <v>1</v>
      </c>
      <c r="H219" s="46">
        <f>if(ISNA(vlookup($A219, RotoWire!$B$2:$E$681, 4, false)), 0, vlookup($A219, RotoWire!$B$2:$E$681, 4, false))</f>
        <v>0</v>
      </c>
      <c r="I219" s="47">
        <f t="shared" si="1"/>
        <v>0.5</v>
      </c>
      <c r="J219" s="47">
        <f t="shared" si="2"/>
        <v>1</v>
      </c>
    </row>
    <row r="220">
      <c r="A220" s="44" t="s">
        <v>235</v>
      </c>
      <c r="B220" s="45" t="s">
        <v>53</v>
      </c>
      <c r="C220" s="45" t="s">
        <v>219</v>
      </c>
      <c r="D220" s="45">
        <v>9.0</v>
      </c>
      <c r="E220" s="46">
        <f>if(ISNA(vlookup($A220, ESPN!$B$2:$E$281, 4, false)), 0, vlookup($A220, ESPN!$B$2:$E$281, 4, false))</f>
        <v>1</v>
      </c>
      <c r="F220" s="46">
        <f>if(ISNA(vlookup($A220, Scout.com!$B$2:$E$239, 4, false)), 0, vlookup($A220, Scout.com!$B$2:$E$239, 4, false))</f>
        <v>0</v>
      </c>
      <c r="G220" s="46">
        <f>if(ISNA(vlookup($A220, FantasyPro!$B$2:$E$318, 4, false)), 0, vlookup($A220, FantasyPro!$B$2:$E$318, 4, false))</f>
        <v>0</v>
      </c>
      <c r="H220" s="46">
        <f>if(ISNA(vlookup($A220, RotoWire!$B$2:$E$681, 4, false)), 0, vlookup($A220, RotoWire!$B$2:$E$681, 4, false))</f>
        <v>0</v>
      </c>
      <c r="I220" s="47">
        <f t="shared" si="1"/>
        <v>0.25</v>
      </c>
      <c r="J220" s="47">
        <f t="shared" si="2"/>
        <v>1</v>
      </c>
    </row>
    <row r="221">
      <c r="A221" s="44" t="s">
        <v>265</v>
      </c>
      <c r="B221" s="45" t="s">
        <v>11</v>
      </c>
      <c r="C221" s="45" t="s">
        <v>199</v>
      </c>
      <c r="D221" s="45">
        <v>9.0</v>
      </c>
      <c r="E221" s="46">
        <f>if(ISNA(vlookup($A221, ESPN!$B$2:$E$281, 4, false)), 0, vlookup($A221, ESPN!$B$2:$E$281, 4, false))</f>
        <v>0</v>
      </c>
      <c r="F221" s="46">
        <f>if(ISNA(vlookup($A221, Scout.com!$B$2:$E$239, 4, false)), 0, vlookup($A221, Scout.com!$B$2:$E$239, 4, false))</f>
        <v>0</v>
      </c>
      <c r="G221" s="46">
        <f>if(ISNA(vlookup($A221, FantasyPro!$B$2:$E$318, 4, false)), 0, vlookup($A221, FantasyPro!$B$2:$E$318, 4, false))</f>
        <v>1</v>
      </c>
      <c r="H221" s="46">
        <f>if(ISNA(vlookup($A221, RotoWire!$B$2:$E$681, 4, false)), 0, vlookup($A221, RotoWire!$B$2:$E$681, 4, false))</f>
        <v>0</v>
      </c>
      <c r="I221" s="47">
        <f t="shared" si="1"/>
        <v>0.25</v>
      </c>
      <c r="J221" s="47">
        <f t="shared" si="2"/>
        <v>1</v>
      </c>
    </row>
    <row r="222">
      <c r="A222" s="44" t="s">
        <v>294</v>
      </c>
      <c r="B222" s="45" t="s">
        <v>23</v>
      </c>
      <c r="C222" s="45" t="s">
        <v>199</v>
      </c>
      <c r="D222" s="45">
        <v>8.0</v>
      </c>
      <c r="E222" s="46">
        <f>if(ISNA(vlookup($A222, ESPN!$B$2:$E$281, 4, false)), 0, vlookup($A222, ESPN!$B$2:$E$281, 4, false))</f>
        <v>0</v>
      </c>
      <c r="F222" s="46">
        <f>if(ISNA(vlookup($A222, Scout.com!$B$2:$E$239, 4, false)), 0, vlookup($A222, Scout.com!$B$2:$E$239, 4, false))</f>
        <v>0</v>
      </c>
      <c r="G222" s="46">
        <f>if(ISNA(vlookup($A222, FantasyPro!$B$2:$E$318, 4, false)), 0, vlookup($A222, FantasyPro!$B$2:$E$318, 4, false))</f>
        <v>0</v>
      </c>
      <c r="H222" s="46">
        <f>if(ISNA(vlookup($A222, RotoWire!$B$2:$E$681, 4, false)), 0, vlookup($A222, RotoWire!$B$2:$E$681, 4, false))</f>
        <v>1</v>
      </c>
      <c r="I222" s="47">
        <f t="shared" si="1"/>
        <v>0.25</v>
      </c>
      <c r="J222" s="47">
        <f t="shared" si="2"/>
        <v>1</v>
      </c>
    </row>
    <row r="223">
      <c r="A223" s="44" t="s">
        <v>185</v>
      </c>
      <c r="B223" s="48" t="s">
        <v>30</v>
      </c>
      <c r="C223" s="45" t="s">
        <v>17</v>
      </c>
      <c r="D223" s="45">
        <v>9.0</v>
      </c>
      <c r="E223" s="46">
        <f>if(ISNA(vlookup($A223, ESPN!$B$2:$E$281, 4, false)), 0, vlookup($A223, ESPN!$B$2:$E$281, 4, false))</f>
        <v>0</v>
      </c>
      <c r="F223" s="46">
        <f>if(ISNA(vlookup($A223, Scout.com!$B$2:$E$239, 4, false)), 0, vlookup($A223, Scout.com!$B$2:$E$239, 4, false))</f>
        <v>0</v>
      </c>
      <c r="G223" s="46">
        <f>if(ISNA(vlookup($A223, FantasyPro!$B$2:$E$318, 4, false)), 0, vlookup($A223, FantasyPro!$B$2:$E$318, 4, false))</f>
        <v>0</v>
      </c>
      <c r="H223" s="46">
        <f>if(ISNA(vlookup($A223, RotoWire!$B$2:$E$681, 4, false)), 0, vlookup($A223, RotoWire!$B$2:$E$681, 4, false))</f>
        <v>1</v>
      </c>
      <c r="I223" s="47">
        <f t="shared" si="1"/>
        <v>0.25</v>
      </c>
      <c r="J223" s="47">
        <f t="shared" si="2"/>
        <v>1</v>
      </c>
    </row>
    <row r="224">
      <c r="A224" s="44" t="s">
        <v>253</v>
      </c>
      <c r="B224" s="45" t="s">
        <v>53</v>
      </c>
      <c r="C224" s="45" t="s">
        <v>43</v>
      </c>
      <c r="D224" s="45">
        <v>9.0</v>
      </c>
      <c r="E224" s="46">
        <f>if(ISNA(vlookup($A224, ESPN!$B$2:$E$281, 4, false)), 0, vlookup($A224, ESPN!$B$2:$E$281, 4, false))</f>
        <v>0</v>
      </c>
      <c r="F224" s="46">
        <f>if(ISNA(vlookup($A224, Scout.com!$B$2:$E$239, 4, false)), 0, vlookup($A224, Scout.com!$B$2:$E$239, 4, false))</f>
        <v>0</v>
      </c>
      <c r="G224" s="46">
        <f>if(ISNA(vlookup($A224, FantasyPro!$B$2:$E$318, 4, false)), 0, vlookup($A224, FantasyPro!$B$2:$E$318, 4, false))</f>
        <v>1</v>
      </c>
      <c r="H224" s="46">
        <f>if(ISNA(vlookup($A224, RotoWire!$B$2:$E$681, 4, false)), 0, vlookup($A224, RotoWire!$B$2:$E$681, 4, false))</f>
        <v>0</v>
      </c>
      <c r="I224" s="47">
        <f t="shared" si="1"/>
        <v>0.25</v>
      </c>
      <c r="J224" s="47">
        <f t="shared" si="2"/>
        <v>1</v>
      </c>
    </row>
    <row r="225">
      <c r="A225" s="44" t="s">
        <v>150</v>
      </c>
      <c r="B225" s="45" t="s">
        <v>15</v>
      </c>
      <c r="C225" s="45" t="s">
        <v>7</v>
      </c>
      <c r="D225" s="45">
        <v>11.0</v>
      </c>
      <c r="E225" s="46">
        <f>if(ISNA(vlookup($A225, ESPN!$B$2:$E$281, 4, false)), 0, vlookup($A225, ESPN!$B$2:$E$281, 4, false))</f>
        <v>1</v>
      </c>
      <c r="F225" s="46">
        <f>if(ISNA(vlookup($A225, Scout.com!$B$2:$E$239, 4, false)), 0, vlookup($A225, Scout.com!$B$2:$E$239, 4, false))</f>
        <v>0</v>
      </c>
      <c r="G225" s="46">
        <f>if(ISNA(vlookup($A225, FantasyPro!$B$2:$E$318, 4, false)), 0, vlookup($A225, FantasyPro!$B$2:$E$318, 4, false))</f>
        <v>0</v>
      </c>
      <c r="H225" s="46">
        <f>if(ISNA(vlookup($A225, RotoWire!$B$2:$E$681, 4, false)), 0, vlookup($A225, RotoWire!$B$2:$E$681, 4, false))</f>
        <v>0</v>
      </c>
      <c r="I225" s="47">
        <f t="shared" si="1"/>
        <v>0.25</v>
      </c>
      <c r="J225" s="47">
        <f t="shared" si="2"/>
        <v>1</v>
      </c>
    </row>
    <row r="226">
      <c r="A226" s="44" t="s">
        <v>341</v>
      </c>
      <c r="B226" s="45" t="s">
        <v>47</v>
      </c>
      <c r="C226" s="45" t="s">
        <v>219</v>
      </c>
      <c r="D226" s="45">
        <v>7.0</v>
      </c>
      <c r="E226" s="46">
        <f>if(ISNA(vlookup($A226, ESPN!$B$2:$E$281, 4, false)), 0, vlookup($A226, ESPN!$B$2:$E$281, 4, false))</f>
        <v>0</v>
      </c>
      <c r="F226" s="46">
        <f>if(ISNA(vlookup($A226, Scout.com!$B$2:$E$239, 4, false)), 0, vlookup($A226, Scout.com!$B$2:$E$239, 4, false))</f>
        <v>0</v>
      </c>
      <c r="G226" s="46">
        <f>if(ISNA(vlookup($A226, FantasyPro!$B$2:$E$318, 4, false)), 0, vlookup($A226, FantasyPro!$B$2:$E$318, 4, false))</f>
        <v>1</v>
      </c>
      <c r="H226" s="46">
        <f>if(ISNA(vlookup($A226, RotoWire!$B$2:$E$681, 4, false)), 0, vlookup($A226, RotoWire!$B$2:$E$681, 4, false))</f>
        <v>0</v>
      </c>
      <c r="I226" s="47">
        <f t="shared" si="1"/>
        <v>0.25</v>
      </c>
      <c r="J226" s="47">
        <f t="shared" si="2"/>
        <v>1</v>
      </c>
    </row>
    <row r="227">
      <c r="A227" s="44" t="s">
        <v>187</v>
      </c>
      <c r="B227" s="45" t="s">
        <v>34</v>
      </c>
      <c r="C227" s="45" t="s">
        <v>17</v>
      </c>
      <c r="D227" s="45">
        <v>8.0</v>
      </c>
      <c r="E227" s="46">
        <f>if(ISNA(vlookup($A227, ESPN!$B$2:$E$281, 4, false)), 0, vlookup($A227, ESPN!$B$2:$E$281, 4, false))</f>
        <v>0</v>
      </c>
      <c r="F227" s="46">
        <f>if(ISNA(vlookup($A227, Scout.com!$B$2:$E$239, 4, false)), 0, vlookup($A227, Scout.com!$B$2:$E$239, 4, false))</f>
        <v>0</v>
      </c>
      <c r="G227" s="46">
        <f>if(ISNA(vlookup($A227, FantasyPro!$B$2:$E$318, 4, false)), 0, vlookup($A227, FantasyPro!$B$2:$E$318, 4, false))</f>
        <v>0</v>
      </c>
      <c r="H227" s="46">
        <f>if(ISNA(vlookup($A227, RotoWire!$B$2:$E$681, 4, false)), 0, vlookup($A227, RotoWire!$B$2:$E$681, 4, false))</f>
        <v>1</v>
      </c>
      <c r="I227" s="47">
        <f t="shared" si="1"/>
        <v>0.25</v>
      </c>
      <c r="J227" s="47">
        <f t="shared" si="2"/>
        <v>1</v>
      </c>
    </row>
    <row r="228">
      <c r="A228" s="44" t="s">
        <v>394</v>
      </c>
      <c r="B228" s="45" t="s">
        <v>15</v>
      </c>
      <c r="C228" s="45" t="s">
        <v>17</v>
      </c>
      <c r="D228" s="45">
        <v>11.0</v>
      </c>
      <c r="E228" s="46">
        <f>if(ISNA(vlookup($A228, ESPN!$B$2:$E$281, 4, false)), 0, vlookup($A228, ESPN!$B$2:$E$281, 4, false))</f>
        <v>0</v>
      </c>
      <c r="F228" s="46">
        <f>if(ISNA(vlookup($A228, Scout.com!$B$2:$E$239, 4, false)), 0, vlookup($A228, Scout.com!$B$2:$E$239, 4, false))</f>
        <v>0</v>
      </c>
      <c r="G228" s="46">
        <f>if(ISNA(vlookup($A228, FantasyPro!$B$2:$E$318, 4, false)), 0, vlookup($A228, FantasyPro!$B$2:$E$318, 4, false))</f>
        <v>0</v>
      </c>
      <c r="H228" s="46">
        <f>if(ISNA(vlookup($A228, RotoWire!$B$2:$E$681, 4, false)), 0, vlookup($A228, RotoWire!$B$2:$E$681, 4, false))</f>
        <v>1</v>
      </c>
      <c r="I228" s="47">
        <f t="shared" si="1"/>
        <v>0.25</v>
      </c>
      <c r="J228" s="47">
        <f t="shared" si="2"/>
        <v>1</v>
      </c>
    </row>
    <row r="229">
      <c r="A229" s="44" t="s">
        <v>289</v>
      </c>
      <c r="B229" s="45" t="s">
        <v>11</v>
      </c>
      <c r="C229" s="45" t="s">
        <v>43</v>
      </c>
      <c r="D229" s="45">
        <v>9.0</v>
      </c>
      <c r="E229" s="46">
        <f>if(ISNA(vlookup($A229, ESPN!$B$2:$E$281, 4, false)), 0, vlookup($A229, ESPN!$B$2:$E$281, 4, false))</f>
        <v>0</v>
      </c>
      <c r="F229" s="46">
        <f>if(ISNA(vlookup($A229, Scout.com!$B$2:$E$239, 4, false)), 0, vlookup($A229, Scout.com!$B$2:$E$239, 4, false))</f>
        <v>0</v>
      </c>
      <c r="G229" s="46">
        <f>if(ISNA(vlookup($A229, FantasyPro!$B$2:$E$318, 4, false)), 0, vlookup($A229, FantasyPro!$B$2:$E$318, 4, false))</f>
        <v>1</v>
      </c>
      <c r="H229" s="46">
        <f>if(ISNA(vlookup($A229, RotoWire!$B$2:$E$681, 4, false)), 0, vlookup($A229, RotoWire!$B$2:$E$681, 4, false))</f>
        <v>0</v>
      </c>
      <c r="I229" s="47">
        <f t="shared" si="1"/>
        <v>0.25</v>
      </c>
      <c r="J229" s="47">
        <f t="shared" si="2"/>
        <v>1</v>
      </c>
    </row>
    <row r="230">
      <c r="A230" s="44" t="s">
        <v>246</v>
      </c>
      <c r="B230" s="45" t="s">
        <v>28</v>
      </c>
      <c r="C230" s="45" t="s">
        <v>7</v>
      </c>
      <c r="D230" s="45">
        <v>12.0</v>
      </c>
      <c r="E230" s="46">
        <f>if(ISNA(vlookup($A230, ESPN!$B$2:$E$281, 4, false)), 0, vlookup($A230, ESPN!$B$2:$E$281, 4, false))</f>
        <v>0</v>
      </c>
      <c r="F230" s="46">
        <f>if(ISNA(vlookup($A230, Scout.com!$B$2:$E$239, 4, false)), 0, vlookup($A230, Scout.com!$B$2:$E$239, 4, false))</f>
        <v>0</v>
      </c>
      <c r="G230" s="46">
        <f>if(ISNA(vlookup($A230, FantasyPro!$B$2:$E$318, 4, false)), 0, vlookup($A230, FantasyPro!$B$2:$E$318, 4, false))</f>
        <v>0</v>
      </c>
      <c r="H230" s="46">
        <f>if(ISNA(vlookup($A230, RotoWire!$B$2:$E$681, 4, false)), 0, vlookup($A230, RotoWire!$B$2:$E$681, 4, false))</f>
        <v>1</v>
      </c>
      <c r="I230" s="47">
        <f t="shared" si="1"/>
        <v>0.25</v>
      </c>
      <c r="J230" s="47">
        <f t="shared" si="2"/>
        <v>1</v>
      </c>
    </row>
    <row r="231">
      <c r="A231" s="44" t="s">
        <v>226</v>
      </c>
      <c r="B231" s="45" t="s">
        <v>83</v>
      </c>
      <c r="C231" s="45" t="s">
        <v>199</v>
      </c>
      <c r="D231" s="45">
        <v>8.0</v>
      </c>
      <c r="E231" s="46">
        <f>if(ISNA(vlookup($A231, ESPN!$B$2:$E$281, 4, false)), 0, vlookup($A231, ESPN!$B$2:$E$281, 4, false))</f>
        <v>1</v>
      </c>
      <c r="F231" s="46">
        <f>if(ISNA(vlookup($A231, Scout.com!$B$2:$E$239, 4, false)), 0, vlookup($A231, Scout.com!$B$2:$E$239, 4, false))</f>
        <v>0</v>
      </c>
      <c r="G231" s="46">
        <f>if(ISNA(vlookup($A231, FantasyPro!$B$2:$E$318, 4, false)), 0, vlookup($A231, FantasyPro!$B$2:$E$318, 4, false))</f>
        <v>0</v>
      </c>
      <c r="H231" s="46">
        <f>if(ISNA(vlookup($A231, RotoWire!$B$2:$E$681, 4, false)), 0, vlookup($A231, RotoWire!$B$2:$E$681, 4, false))</f>
        <v>0</v>
      </c>
      <c r="I231" s="47">
        <f t="shared" si="1"/>
        <v>0.25</v>
      </c>
      <c r="J231" s="47">
        <f t="shared" si="2"/>
        <v>1</v>
      </c>
    </row>
    <row r="232">
      <c r="A232" s="44" t="s">
        <v>382</v>
      </c>
      <c r="B232" s="45" t="s">
        <v>72</v>
      </c>
      <c r="C232" s="45" t="s">
        <v>17</v>
      </c>
      <c r="D232" s="45">
        <v>11.0</v>
      </c>
      <c r="E232" s="46">
        <f>if(ISNA(vlookup($A232, ESPN!$B$2:$E$281, 4, false)), 0, vlookup($A232, ESPN!$B$2:$E$281, 4, false))</f>
        <v>0</v>
      </c>
      <c r="F232" s="46">
        <f>if(ISNA(vlookup($A232, Scout.com!$B$2:$E$239, 4, false)), 0, vlookup($A232, Scout.com!$B$2:$E$239, 4, false))</f>
        <v>0</v>
      </c>
      <c r="G232" s="46">
        <f>if(ISNA(vlookup($A232, FantasyPro!$B$2:$E$318, 4, false)), 0, vlookup($A232, FantasyPro!$B$2:$E$318, 4, false))</f>
        <v>0</v>
      </c>
      <c r="H232" s="46">
        <f>if(ISNA(vlookup($A232, RotoWire!$B$2:$E$681, 4, false)), 0, vlookup($A232, RotoWire!$B$2:$E$681, 4, false))</f>
        <v>1</v>
      </c>
      <c r="I232" s="47">
        <f t="shared" si="1"/>
        <v>0.25</v>
      </c>
      <c r="J232" s="47">
        <f t="shared" si="2"/>
        <v>1</v>
      </c>
    </row>
    <row r="233">
      <c r="A233" s="44" t="s">
        <v>503</v>
      </c>
      <c r="B233" s="45" t="s">
        <v>45</v>
      </c>
      <c r="C233" s="45" t="s">
        <v>43</v>
      </c>
      <c r="D233" s="45">
        <v>11.0</v>
      </c>
      <c r="E233" s="46">
        <f>if(ISNA(vlookup($A233, ESPN!$B$2:$E$281, 4, false)), 0, vlookup($A233, ESPN!$B$2:$E$281, 4, false))</f>
        <v>0</v>
      </c>
      <c r="F233" s="46">
        <f>if(ISNA(vlookup($A233, Scout.com!$B$2:$E$239, 4, false)), 0, vlookup($A233, Scout.com!$B$2:$E$239, 4, false))</f>
        <v>0</v>
      </c>
      <c r="G233" s="46">
        <f>if(ISNA(vlookup($A233, FantasyPro!$B$2:$E$318, 4, false)), 0, vlookup($A233, FantasyPro!$B$2:$E$318, 4, false))</f>
        <v>0</v>
      </c>
      <c r="H233" s="46">
        <f>if(ISNA(vlookup($A233, RotoWire!$B$2:$E$681, 4, false)), 0, vlookup($A233, RotoWire!$B$2:$E$681, 4, false))</f>
        <v>0</v>
      </c>
      <c r="I233" s="47">
        <f t="shared" si="1"/>
        <v>0</v>
      </c>
      <c r="J233" s="47">
        <f t="shared" si="2"/>
        <v>0</v>
      </c>
    </row>
    <row r="234">
      <c r="A234" s="44" t="s">
        <v>380</v>
      </c>
      <c r="B234" s="45" t="s">
        <v>49</v>
      </c>
      <c r="C234" s="45" t="s">
        <v>17</v>
      </c>
      <c r="D234" s="45">
        <v>5.0</v>
      </c>
      <c r="E234" s="46">
        <f>if(ISNA(vlookup($A234, ESPN!$B$2:$E$281, 4, false)), 0, vlookup($A234, ESPN!$B$2:$E$281, 4, false))</f>
        <v>0</v>
      </c>
      <c r="F234" s="46">
        <f>if(ISNA(vlookup($A234, Scout.com!$B$2:$E$239, 4, false)), 0, vlookup($A234, Scout.com!$B$2:$E$239, 4, false))</f>
        <v>0</v>
      </c>
      <c r="G234" s="46">
        <f>if(ISNA(vlookup($A234, FantasyPro!$B$2:$E$318, 4, false)), 0, vlookup($A234, FantasyPro!$B$2:$E$318, 4, false))</f>
        <v>0</v>
      </c>
      <c r="H234" s="46">
        <f>if(ISNA(vlookup($A234, RotoWire!$B$2:$E$681, 4, false)), 0, vlookup($A234, RotoWire!$B$2:$E$681, 4, false))</f>
        <v>0</v>
      </c>
      <c r="I234" s="47">
        <f t="shared" si="1"/>
        <v>0</v>
      </c>
      <c r="J234" s="47">
        <f t="shared" si="2"/>
        <v>0</v>
      </c>
    </row>
    <row r="235">
      <c r="A235" s="44" t="s">
        <v>463</v>
      </c>
      <c r="B235" s="45" t="s">
        <v>51</v>
      </c>
      <c r="C235" s="45" t="s">
        <v>43</v>
      </c>
      <c r="D235" s="45">
        <v>5.0</v>
      </c>
      <c r="E235" s="46">
        <f>if(ISNA(vlookup($A235, ESPN!$B$2:$E$281, 4, false)), 0, vlookup($A235, ESPN!$B$2:$E$281, 4, false))</f>
        <v>0</v>
      </c>
      <c r="F235" s="46">
        <f>if(ISNA(vlookup($A235, Scout.com!$B$2:$E$239, 4, false)), 0, vlookup($A235, Scout.com!$B$2:$E$239, 4, false))</f>
        <v>0</v>
      </c>
      <c r="G235" s="46">
        <f>if(ISNA(vlookup($A235, FantasyPro!$B$2:$E$318, 4, false)), 0, vlookup($A235, FantasyPro!$B$2:$E$318, 4, false))</f>
        <v>0</v>
      </c>
      <c r="H235" s="46">
        <f>if(ISNA(vlookup($A235, RotoWire!$B$2:$E$681, 4, false)), 0, vlookup($A235, RotoWire!$B$2:$E$681, 4, false))</f>
        <v>0</v>
      </c>
      <c r="I235" s="47">
        <f t="shared" si="1"/>
        <v>0</v>
      </c>
      <c r="J235" s="47">
        <f t="shared" si="2"/>
        <v>0</v>
      </c>
    </row>
    <row r="236">
      <c r="A236" s="44" t="s">
        <v>314</v>
      </c>
      <c r="B236" s="45" t="s">
        <v>70</v>
      </c>
      <c r="C236" s="45" t="s">
        <v>97</v>
      </c>
      <c r="D236" s="45">
        <v>11.0</v>
      </c>
      <c r="E236" s="46">
        <f>if(ISNA(vlookup($A236, ESPN!$B$2:$E$281, 4, false)), 0, vlookup($A236, ESPN!$B$2:$E$281, 4, false))</f>
        <v>0</v>
      </c>
      <c r="F236" s="46">
        <f>if(ISNA(vlookup($A236, Scout.com!$B$2:$E$239, 4, false)), 0, vlookup($A236, Scout.com!$B$2:$E$239, 4, false))</f>
        <v>0</v>
      </c>
      <c r="G236" s="46">
        <f>if(ISNA(vlookup($A236, FantasyPro!$B$2:$E$318, 4, false)), 0, vlookup($A236, FantasyPro!$B$2:$E$318, 4, false))</f>
        <v>0</v>
      </c>
      <c r="H236" s="46">
        <f>if(ISNA(vlookup($A236, RotoWire!$B$2:$E$681, 4, false)), 0, vlookup($A236, RotoWire!$B$2:$E$681, 4, false))</f>
        <v>0</v>
      </c>
      <c r="I236" s="47">
        <f t="shared" si="1"/>
        <v>0</v>
      </c>
      <c r="J236" s="47">
        <f t="shared" si="2"/>
        <v>0</v>
      </c>
    </row>
    <row r="237">
      <c r="A237" s="44" t="s">
        <v>554</v>
      </c>
      <c r="B237" s="45" t="s">
        <v>172</v>
      </c>
      <c r="C237" s="45" t="s">
        <v>7</v>
      </c>
      <c r="D237" s="49"/>
      <c r="E237" s="46">
        <f>if(ISNA(vlookup($A237, ESPN!$B$2:$E$281, 4, false)), 0, vlookup($A237, ESPN!$B$2:$E$281, 4, false))</f>
        <v>0</v>
      </c>
      <c r="F237" s="46">
        <f>if(ISNA(vlookup($A237, Scout.com!$B$2:$E$239, 4, false)), 0, vlookup($A237, Scout.com!$B$2:$E$239, 4, false))</f>
        <v>0</v>
      </c>
      <c r="G237" s="46">
        <f>if(ISNA(vlookup($A237, FantasyPro!$B$2:$E$318, 4, false)), 0, vlookup($A237, FantasyPro!$B$2:$E$318, 4, false))</f>
        <v>0</v>
      </c>
      <c r="H237" s="46">
        <f>if(ISNA(vlookup($A237, RotoWire!$B$2:$E$681, 4, false)), 0, vlookup($A237, RotoWire!$B$2:$E$681, 4, false))</f>
        <v>0</v>
      </c>
      <c r="I237" s="47">
        <f t="shared" si="1"/>
        <v>0</v>
      </c>
      <c r="J237" s="47">
        <f t="shared" si="2"/>
        <v>0</v>
      </c>
    </row>
    <row r="238">
      <c r="A238" s="44" t="s">
        <v>471</v>
      </c>
      <c r="B238" s="45" t="s">
        <v>83</v>
      </c>
      <c r="C238" s="45" t="s">
        <v>7</v>
      </c>
      <c r="D238" s="45">
        <v>8.0</v>
      </c>
      <c r="E238" s="46">
        <f>if(ISNA(vlookup($A238, ESPN!$B$2:$E$281, 4, false)), 0, vlookup($A238, ESPN!$B$2:$E$281, 4, false))</f>
        <v>0</v>
      </c>
      <c r="F238" s="46">
        <f>if(ISNA(vlookup($A238, Scout.com!$B$2:$E$239, 4, false)), 0, vlookup($A238, Scout.com!$B$2:$E$239, 4, false))</f>
        <v>0</v>
      </c>
      <c r="G238" s="46">
        <f>if(ISNA(vlookup($A238, FantasyPro!$B$2:$E$318, 4, false)), 0, vlookup($A238, FantasyPro!$B$2:$E$318, 4, false))</f>
        <v>0</v>
      </c>
      <c r="H238" s="46">
        <f>if(ISNA(vlookup($A238, RotoWire!$B$2:$E$681, 4, false)), 0, vlookup($A238, RotoWire!$B$2:$E$681, 4, false))</f>
        <v>0</v>
      </c>
      <c r="I238" s="47">
        <f t="shared" si="1"/>
        <v>0</v>
      </c>
      <c r="J238" s="47">
        <f t="shared" si="2"/>
        <v>0</v>
      </c>
    </row>
    <row r="239">
      <c r="A239" s="44" t="s">
        <v>536</v>
      </c>
      <c r="B239" s="45" t="s">
        <v>72</v>
      </c>
      <c r="C239" s="45" t="s">
        <v>17</v>
      </c>
      <c r="D239" s="45">
        <v>11.0</v>
      </c>
      <c r="E239" s="46">
        <f>if(ISNA(vlookup($A239, ESPN!$B$2:$E$281, 4, false)), 0, vlookup($A239, ESPN!$B$2:$E$281, 4, false))</f>
        <v>0</v>
      </c>
      <c r="F239" s="46">
        <f>if(ISNA(vlookup($A239, Scout.com!$B$2:$E$239, 4, false)), 0, vlookup($A239, Scout.com!$B$2:$E$239, 4, false))</f>
        <v>0</v>
      </c>
      <c r="G239" s="46">
        <f>if(ISNA(vlookup($A239, FantasyPro!$B$2:$E$318, 4, false)), 0, vlookup($A239, FantasyPro!$B$2:$E$318, 4, false))</f>
        <v>0</v>
      </c>
      <c r="H239" s="46">
        <f>if(ISNA(vlookup($A239, RotoWire!$B$2:$E$681, 4, false)), 0, vlookup($A239, RotoWire!$B$2:$E$681, 4, false))</f>
        <v>0</v>
      </c>
      <c r="I239" s="47">
        <f t="shared" si="1"/>
        <v>0</v>
      </c>
      <c r="J239" s="47">
        <f t="shared" si="2"/>
        <v>0</v>
      </c>
    </row>
    <row r="240">
      <c r="A240" s="44" t="s">
        <v>401</v>
      </c>
      <c r="B240" s="45" t="s">
        <v>19</v>
      </c>
      <c r="C240" s="45" t="s">
        <v>219</v>
      </c>
      <c r="D240" s="45">
        <v>9.0</v>
      </c>
      <c r="E240" s="46">
        <f>if(ISNA(vlookup($A240, ESPN!$B$2:$E$281, 4, false)), 0, vlookup($A240, ESPN!$B$2:$E$281, 4, false))</f>
        <v>0</v>
      </c>
      <c r="F240" s="46">
        <f>if(ISNA(vlookup($A240, Scout.com!$B$2:$E$239, 4, false)), 0, vlookup($A240, Scout.com!$B$2:$E$239, 4, false))</f>
        <v>0</v>
      </c>
      <c r="G240" s="46">
        <f>if(ISNA(vlookup($A240, FantasyPro!$B$2:$E$318, 4, false)), 0, vlookup($A240, FantasyPro!$B$2:$E$318, 4, false))</f>
        <v>0</v>
      </c>
      <c r="H240" s="46">
        <f>if(ISNA(vlookup($A240, RotoWire!$B$2:$E$681, 4, false)), 0, vlookup($A240, RotoWire!$B$2:$E$681, 4, false))</f>
        <v>0</v>
      </c>
      <c r="I240" s="47">
        <f t="shared" si="1"/>
        <v>0</v>
      </c>
      <c r="J240" s="47">
        <f t="shared" si="2"/>
        <v>0</v>
      </c>
    </row>
    <row r="241">
      <c r="A241" s="44" t="s">
        <v>588</v>
      </c>
      <c r="B241" s="45" t="s">
        <v>39</v>
      </c>
      <c r="C241" s="45" t="s">
        <v>17</v>
      </c>
      <c r="D241" s="45">
        <v>9.0</v>
      </c>
      <c r="E241" s="46">
        <f>if(ISNA(vlookup($A241, ESPN!$B$2:$E$281, 4, false)), 0, vlookup($A241, ESPN!$B$2:$E$281, 4, false))</f>
        <v>0</v>
      </c>
      <c r="F241" s="46">
        <f>if(ISNA(vlookup($A241, Scout.com!$B$2:$E$239, 4, false)), 0, vlookup($A241, Scout.com!$B$2:$E$239, 4, false))</f>
        <v>0</v>
      </c>
      <c r="G241" s="46">
        <f>if(ISNA(vlookup($A241, FantasyPro!$B$2:$E$318, 4, false)), 0, vlookup($A241, FantasyPro!$B$2:$E$318, 4, false))</f>
        <v>0</v>
      </c>
      <c r="H241" s="46">
        <f>if(ISNA(vlookup($A241, RotoWire!$B$2:$E$681, 4, false)), 0, vlookup($A241, RotoWire!$B$2:$E$681, 4, false))</f>
        <v>0</v>
      </c>
      <c r="I241" s="47">
        <f t="shared" si="1"/>
        <v>0</v>
      </c>
      <c r="J241" s="47">
        <f t="shared" si="2"/>
        <v>0</v>
      </c>
    </row>
    <row r="242">
      <c r="A242" s="44" t="s">
        <v>686</v>
      </c>
      <c r="B242" s="45" t="s">
        <v>65</v>
      </c>
      <c r="C242" s="45" t="s">
        <v>97</v>
      </c>
      <c r="D242" s="45">
        <v>7.0</v>
      </c>
      <c r="E242" s="46">
        <f>if(ISNA(vlookup($A242, ESPN!$B$2:$E$281, 4, false)), 0, vlookup($A242, ESPN!$B$2:$E$281, 4, false))</f>
        <v>0</v>
      </c>
      <c r="F242" s="46">
        <f>if(ISNA(vlookup($A242, Scout.com!$B$2:$E$239, 4, false)), 0, vlookup($A242, Scout.com!$B$2:$E$239, 4, false))</f>
        <v>0</v>
      </c>
      <c r="G242" s="46">
        <f>if(ISNA(vlookup($A242, FantasyPro!$B$2:$E$318, 4, false)), 0, vlookup($A242, FantasyPro!$B$2:$E$318, 4, false))</f>
        <v>0</v>
      </c>
      <c r="H242" s="46">
        <f>if(ISNA(vlookup($A242, RotoWire!$B$2:$E$681, 4, false)), 0, vlookup($A242, RotoWire!$B$2:$E$681, 4, false))</f>
        <v>0</v>
      </c>
      <c r="I242" s="47">
        <f t="shared" si="1"/>
        <v>0</v>
      </c>
      <c r="J242" s="47">
        <f t="shared" si="2"/>
        <v>0</v>
      </c>
    </row>
    <row r="243">
      <c r="A243" s="44" t="s">
        <v>282</v>
      </c>
      <c r="B243" s="45" t="s">
        <v>26</v>
      </c>
      <c r="C243" s="45" t="s">
        <v>7</v>
      </c>
      <c r="D243" s="45">
        <v>10.0</v>
      </c>
      <c r="E243" s="46">
        <f>if(ISNA(vlookup($A243, ESPN!$B$2:$E$281, 4, false)), 0, vlookup($A243, ESPN!$B$2:$E$281, 4, false))</f>
        <v>0</v>
      </c>
      <c r="F243" s="46">
        <f>if(ISNA(vlookup($A243, Scout.com!$B$2:$E$239, 4, false)), 0, vlookup($A243, Scout.com!$B$2:$E$239, 4, false))</f>
        <v>0</v>
      </c>
      <c r="G243" s="46">
        <f>if(ISNA(vlookup($A243, FantasyPro!$B$2:$E$318, 4, false)), 0, vlookup($A243, FantasyPro!$B$2:$E$318, 4, false))</f>
        <v>0</v>
      </c>
      <c r="H243" s="46">
        <f>if(ISNA(vlookup($A243, RotoWire!$B$2:$E$681, 4, false)), 0, vlookup($A243, RotoWire!$B$2:$E$681, 4, false))</f>
        <v>0</v>
      </c>
      <c r="I243" s="47">
        <f t="shared" si="1"/>
        <v>0</v>
      </c>
      <c r="J243" s="47">
        <f t="shared" si="2"/>
        <v>0</v>
      </c>
    </row>
    <row r="244">
      <c r="A244" s="44" t="s">
        <v>422</v>
      </c>
      <c r="B244" s="45" t="s">
        <v>72</v>
      </c>
      <c r="C244" s="45" t="s">
        <v>7</v>
      </c>
      <c r="D244" s="45">
        <v>11.0</v>
      </c>
      <c r="E244" s="46">
        <f>if(ISNA(vlookup($A244, ESPN!$B$2:$E$281, 4, false)), 0, vlookup($A244, ESPN!$B$2:$E$281, 4, false))</f>
        <v>0</v>
      </c>
      <c r="F244" s="46">
        <f>if(ISNA(vlookup($A244, Scout.com!$B$2:$E$239, 4, false)), 0, vlookup($A244, Scout.com!$B$2:$E$239, 4, false))</f>
        <v>0</v>
      </c>
      <c r="G244" s="46">
        <f>if(ISNA(vlookup($A244, FantasyPro!$B$2:$E$318, 4, false)), 0, vlookup($A244, FantasyPro!$B$2:$E$318, 4, false))</f>
        <v>0</v>
      </c>
      <c r="H244" s="46">
        <f>if(ISNA(vlookup($A244, RotoWire!$B$2:$E$681, 4, false)), 0, vlookup($A244, RotoWire!$B$2:$E$681, 4, false))</f>
        <v>0</v>
      </c>
      <c r="I244" s="47">
        <f t="shared" si="1"/>
        <v>0</v>
      </c>
      <c r="J244" s="47">
        <f t="shared" si="2"/>
        <v>0</v>
      </c>
    </row>
    <row r="245">
      <c r="A245" s="44" t="s">
        <v>520</v>
      </c>
      <c r="B245" s="48" t="s">
        <v>30</v>
      </c>
      <c r="C245" s="45" t="s">
        <v>17</v>
      </c>
      <c r="D245" s="45">
        <v>9.0</v>
      </c>
      <c r="E245" s="46">
        <f>if(ISNA(vlookup($A245, ESPN!$B$2:$E$281, 4, false)), 0, vlookup($A245, ESPN!$B$2:$E$281, 4, false))</f>
        <v>0</v>
      </c>
      <c r="F245" s="46">
        <f>if(ISNA(vlookup($A245, Scout.com!$B$2:$E$239, 4, false)), 0, vlookup($A245, Scout.com!$B$2:$E$239, 4, false))</f>
        <v>0</v>
      </c>
      <c r="G245" s="46">
        <f>if(ISNA(vlookup($A245, FantasyPro!$B$2:$E$318, 4, false)), 0, vlookup($A245, FantasyPro!$B$2:$E$318, 4, false))</f>
        <v>0</v>
      </c>
      <c r="H245" s="46">
        <f>if(ISNA(vlookup($A245, RotoWire!$B$2:$E$681, 4, false)), 0, vlookup($A245, RotoWire!$B$2:$E$681, 4, false))</f>
        <v>0</v>
      </c>
      <c r="I245" s="47">
        <f t="shared" si="1"/>
        <v>0</v>
      </c>
      <c r="J245" s="47">
        <f t="shared" si="2"/>
        <v>0</v>
      </c>
    </row>
    <row r="246">
      <c r="A246" s="44" t="s">
        <v>551</v>
      </c>
      <c r="B246" s="45" t="s">
        <v>65</v>
      </c>
      <c r="C246" s="45" t="s">
        <v>17</v>
      </c>
      <c r="D246" s="45">
        <v>7.0</v>
      </c>
      <c r="E246" s="46">
        <f>if(ISNA(vlookup($A246, ESPN!$B$2:$E$281, 4, false)), 0, vlookup($A246, ESPN!$B$2:$E$281, 4, false))</f>
        <v>0</v>
      </c>
      <c r="F246" s="46">
        <f>if(ISNA(vlookup($A246, Scout.com!$B$2:$E$239, 4, false)), 0, vlookup($A246, Scout.com!$B$2:$E$239, 4, false))</f>
        <v>0</v>
      </c>
      <c r="G246" s="46">
        <f>if(ISNA(vlookup($A246, FantasyPro!$B$2:$E$318, 4, false)), 0, vlookup($A246, FantasyPro!$B$2:$E$318, 4, false))</f>
        <v>0</v>
      </c>
      <c r="H246" s="46">
        <f>if(ISNA(vlookup($A246, RotoWire!$B$2:$E$681, 4, false)), 0, vlookup($A246, RotoWire!$B$2:$E$681, 4, false))</f>
        <v>0</v>
      </c>
      <c r="I246" s="47">
        <f t="shared" si="1"/>
        <v>0</v>
      </c>
      <c r="J246" s="47">
        <f t="shared" si="2"/>
        <v>0</v>
      </c>
    </row>
    <row r="247">
      <c r="A247" s="44" t="s">
        <v>430</v>
      </c>
      <c r="B247" s="45" t="s">
        <v>77</v>
      </c>
      <c r="C247" s="45" t="s">
        <v>7</v>
      </c>
      <c r="D247" s="45">
        <v>6.0</v>
      </c>
      <c r="E247" s="46">
        <f>if(ISNA(vlookup($A247, ESPN!$B$2:$E$281, 4, false)), 0, vlookup($A247, ESPN!$B$2:$E$281, 4, false))</f>
        <v>0</v>
      </c>
      <c r="F247" s="46">
        <f>if(ISNA(vlookup($A247, Scout.com!$B$2:$E$239, 4, false)), 0, vlookup($A247, Scout.com!$B$2:$E$239, 4, false))</f>
        <v>0</v>
      </c>
      <c r="G247" s="46">
        <f>if(ISNA(vlookup($A247, FantasyPro!$B$2:$E$318, 4, false)), 0, vlookup($A247, FantasyPro!$B$2:$E$318, 4, false))</f>
        <v>0</v>
      </c>
      <c r="H247" s="46">
        <f>if(ISNA(vlookup($A247, RotoWire!$B$2:$E$681, 4, false)), 0, vlookup($A247, RotoWire!$B$2:$E$681, 4, false))</f>
        <v>0</v>
      </c>
      <c r="I247" s="47">
        <f t="shared" si="1"/>
        <v>0</v>
      </c>
      <c r="J247" s="47">
        <f t="shared" si="2"/>
        <v>0</v>
      </c>
    </row>
    <row r="248">
      <c r="A248" s="44" t="s">
        <v>507</v>
      </c>
      <c r="B248" s="45" t="s">
        <v>172</v>
      </c>
      <c r="C248" s="45" t="s">
        <v>7</v>
      </c>
      <c r="D248" s="49"/>
      <c r="E248" s="46">
        <f>if(ISNA(vlookup($A248, ESPN!$B$2:$E$281, 4, false)), 0, vlookup($A248, ESPN!$B$2:$E$281, 4, false))</f>
        <v>0</v>
      </c>
      <c r="F248" s="46">
        <f>if(ISNA(vlookup($A248, Scout.com!$B$2:$E$239, 4, false)), 0, vlookup($A248, Scout.com!$B$2:$E$239, 4, false))</f>
        <v>0</v>
      </c>
      <c r="G248" s="46">
        <f>if(ISNA(vlookup($A248, FantasyPro!$B$2:$E$318, 4, false)), 0, vlookup($A248, FantasyPro!$B$2:$E$318, 4, false))</f>
        <v>0</v>
      </c>
      <c r="H248" s="46">
        <f>if(ISNA(vlookup($A248, RotoWire!$B$2:$E$681, 4, false)), 0, vlookup($A248, RotoWire!$B$2:$E$681, 4, false))</f>
        <v>0</v>
      </c>
      <c r="I248" s="47">
        <f t="shared" si="1"/>
        <v>0</v>
      </c>
      <c r="J248" s="47">
        <f t="shared" si="2"/>
        <v>0</v>
      </c>
    </row>
    <row r="249">
      <c r="A249" s="44" t="s">
        <v>575</v>
      </c>
      <c r="B249" s="45" t="s">
        <v>70</v>
      </c>
      <c r="C249" s="45" t="s">
        <v>17</v>
      </c>
      <c r="D249" s="45">
        <v>11.0</v>
      </c>
      <c r="E249" s="46">
        <f>if(ISNA(vlookup($A249, ESPN!$B$2:$E$281, 4, false)), 0, vlookup($A249, ESPN!$B$2:$E$281, 4, false))</f>
        <v>0</v>
      </c>
      <c r="F249" s="46">
        <f>if(ISNA(vlookup($A249, Scout.com!$B$2:$E$239, 4, false)), 0, vlookup($A249, Scout.com!$B$2:$E$239, 4, false))</f>
        <v>0</v>
      </c>
      <c r="G249" s="46">
        <f>if(ISNA(vlookup($A249, FantasyPro!$B$2:$E$318, 4, false)), 0, vlookup($A249, FantasyPro!$B$2:$E$318, 4, false))</f>
        <v>0</v>
      </c>
      <c r="H249" s="46">
        <f>if(ISNA(vlookup($A249, RotoWire!$B$2:$E$681, 4, false)), 0, vlookup($A249, RotoWire!$B$2:$E$681, 4, false))</f>
        <v>0</v>
      </c>
      <c r="I249" s="47">
        <f t="shared" si="1"/>
        <v>0</v>
      </c>
      <c r="J249" s="47">
        <f t="shared" si="2"/>
        <v>0</v>
      </c>
    </row>
    <row r="250">
      <c r="A250" s="44" t="s">
        <v>262</v>
      </c>
      <c r="B250" s="45" t="s">
        <v>39</v>
      </c>
      <c r="C250" s="45" t="s">
        <v>97</v>
      </c>
      <c r="D250" s="45">
        <v>9.0</v>
      </c>
      <c r="E250" s="46">
        <f>if(ISNA(vlookup($A250, ESPN!$B$2:$E$281, 4, false)), 0, vlookup($A250, ESPN!$B$2:$E$281, 4, false))</f>
        <v>0</v>
      </c>
      <c r="F250" s="46">
        <f>if(ISNA(vlookup($A250, Scout.com!$B$2:$E$239, 4, false)), 0, vlookup($A250, Scout.com!$B$2:$E$239, 4, false))</f>
        <v>0</v>
      </c>
      <c r="G250" s="46">
        <f>if(ISNA(vlookup($A250, FantasyPro!$B$2:$E$318, 4, false)), 0, vlookup($A250, FantasyPro!$B$2:$E$318, 4, false))</f>
        <v>0</v>
      </c>
      <c r="H250" s="46">
        <f>if(ISNA(vlookup($A250, RotoWire!$B$2:$E$681, 4, false)), 0, vlookup($A250, RotoWire!$B$2:$E$681, 4, false))</f>
        <v>0</v>
      </c>
      <c r="I250" s="47">
        <f t="shared" si="1"/>
        <v>0</v>
      </c>
      <c r="J250" s="47">
        <f t="shared" si="2"/>
        <v>0</v>
      </c>
    </row>
    <row r="251">
      <c r="A251" s="44" t="s">
        <v>268</v>
      </c>
      <c r="B251" s="45" t="s">
        <v>67</v>
      </c>
      <c r="C251" s="45" t="s">
        <v>17</v>
      </c>
      <c r="D251" s="45">
        <v>11.0</v>
      </c>
      <c r="E251" s="46">
        <f>if(ISNA(vlookup($A251, ESPN!$B$2:$E$281, 4, false)), 0, vlookup($A251, ESPN!$B$2:$E$281, 4, false))</f>
        <v>0</v>
      </c>
      <c r="F251" s="46">
        <f>if(ISNA(vlookup($A251, Scout.com!$B$2:$E$239, 4, false)), 0, vlookup($A251, Scout.com!$B$2:$E$239, 4, false))</f>
        <v>0</v>
      </c>
      <c r="G251" s="46">
        <f>if(ISNA(vlookup($A251, FantasyPro!$B$2:$E$318, 4, false)), 0, vlookup($A251, FantasyPro!$B$2:$E$318, 4, false))</f>
        <v>0</v>
      </c>
      <c r="H251" s="46">
        <f>if(ISNA(vlookup($A251, RotoWire!$B$2:$E$681, 4, false)), 0, vlookup($A251, RotoWire!$B$2:$E$681, 4, false))</f>
        <v>0</v>
      </c>
      <c r="I251" s="47">
        <f t="shared" si="1"/>
        <v>0</v>
      </c>
      <c r="J251" s="47">
        <f t="shared" si="2"/>
        <v>0</v>
      </c>
    </row>
    <row r="252">
      <c r="A252" s="44" t="s">
        <v>292</v>
      </c>
      <c r="B252" s="45" t="s">
        <v>172</v>
      </c>
      <c r="C252" s="45" t="s">
        <v>43</v>
      </c>
      <c r="D252" s="49"/>
      <c r="E252" s="46">
        <f>if(ISNA(vlookup($A252, ESPN!$B$2:$E$281, 4, false)), 0, vlookup($A252, ESPN!$B$2:$E$281, 4, false))</f>
        <v>0</v>
      </c>
      <c r="F252" s="46">
        <f>if(ISNA(vlookup($A252, Scout.com!$B$2:$E$239, 4, false)), 0, vlookup($A252, Scout.com!$B$2:$E$239, 4, false))</f>
        <v>0</v>
      </c>
      <c r="G252" s="46">
        <f>if(ISNA(vlookup($A252, FantasyPro!$B$2:$E$318, 4, false)), 0, vlookup($A252, FantasyPro!$B$2:$E$318, 4, false))</f>
        <v>0</v>
      </c>
      <c r="H252" s="46">
        <f>if(ISNA(vlookup($A252, RotoWire!$B$2:$E$681, 4, false)), 0, vlookup($A252, RotoWire!$B$2:$E$681, 4, false))</f>
        <v>0</v>
      </c>
      <c r="I252" s="47">
        <f t="shared" si="1"/>
        <v>0</v>
      </c>
      <c r="J252" s="47">
        <f t="shared" si="2"/>
        <v>0</v>
      </c>
    </row>
    <row r="253">
      <c r="A253" s="44" t="s">
        <v>600</v>
      </c>
      <c r="B253" s="45" t="s">
        <v>95</v>
      </c>
      <c r="C253" s="45" t="s">
        <v>17</v>
      </c>
      <c r="D253" s="45">
        <v>11.0</v>
      </c>
      <c r="E253" s="46">
        <f>if(ISNA(vlookup($A253, ESPN!$B$2:$E$281, 4, false)), 0, vlookup($A253, ESPN!$B$2:$E$281, 4, false))</f>
        <v>0</v>
      </c>
      <c r="F253" s="46">
        <f>if(ISNA(vlookup($A253, Scout.com!$B$2:$E$239, 4, false)), 0, vlookup($A253, Scout.com!$B$2:$E$239, 4, false))</f>
        <v>0</v>
      </c>
      <c r="G253" s="46">
        <f>if(ISNA(vlookup($A253, FantasyPro!$B$2:$E$318, 4, false)), 0, vlookup($A253, FantasyPro!$B$2:$E$318, 4, false))</f>
        <v>0</v>
      </c>
      <c r="H253" s="46">
        <f>if(ISNA(vlookup($A253, RotoWire!$B$2:$E$681, 4, false)), 0, vlookup($A253, RotoWire!$B$2:$E$681, 4, false))</f>
        <v>0</v>
      </c>
      <c r="I253" s="47">
        <f t="shared" si="1"/>
        <v>0</v>
      </c>
      <c r="J253" s="47">
        <f t="shared" si="2"/>
        <v>0</v>
      </c>
    </row>
    <row r="254">
      <c r="A254" s="44" t="s">
        <v>599</v>
      </c>
      <c r="B254" s="45" t="s">
        <v>39</v>
      </c>
      <c r="C254" s="45" t="s">
        <v>17</v>
      </c>
      <c r="D254" s="45">
        <v>9.0</v>
      </c>
      <c r="E254" s="46">
        <f>if(ISNA(vlookup($A254, ESPN!$B$2:$E$281, 4, false)), 0, vlookup($A254, ESPN!$B$2:$E$281, 4, false))</f>
        <v>0</v>
      </c>
      <c r="F254" s="46">
        <f>if(ISNA(vlookup($A254, Scout.com!$B$2:$E$239, 4, false)), 0, vlookup($A254, Scout.com!$B$2:$E$239, 4, false))</f>
        <v>0</v>
      </c>
      <c r="G254" s="46">
        <f>if(ISNA(vlookup($A254, FantasyPro!$B$2:$E$318, 4, false)), 0, vlookup($A254, FantasyPro!$B$2:$E$318, 4, false))</f>
        <v>0</v>
      </c>
      <c r="H254" s="46">
        <f>if(ISNA(vlookup($A254, RotoWire!$B$2:$E$681, 4, false)), 0, vlookup($A254, RotoWire!$B$2:$E$681, 4, false))</f>
        <v>0</v>
      </c>
      <c r="I254" s="47">
        <f t="shared" si="1"/>
        <v>0</v>
      </c>
      <c r="J254" s="47">
        <f t="shared" si="2"/>
        <v>0</v>
      </c>
    </row>
    <row r="255">
      <c r="A255" s="44" t="s">
        <v>671</v>
      </c>
      <c r="B255" s="45" t="s">
        <v>65</v>
      </c>
      <c r="C255" s="45" t="s">
        <v>97</v>
      </c>
      <c r="D255" s="45">
        <v>7.0</v>
      </c>
      <c r="E255" s="46">
        <f>if(ISNA(vlookup($A255, ESPN!$B$2:$E$281, 4, false)), 0, vlookup($A255, ESPN!$B$2:$E$281, 4, false))</f>
        <v>0</v>
      </c>
      <c r="F255" s="46">
        <f>if(ISNA(vlookup($A255, Scout.com!$B$2:$E$239, 4, false)), 0, vlookup($A255, Scout.com!$B$2:$E$239, 4, false))</f>
        <v>0</v>
      </c>
      <c r="G255" s="46">
        <f>if(ISNA(vlookup($A255, FantasyPro!$B$2:$E$318, 4, false)), 0, vlookup($A255, FantasyPro!$B$2:$E$318, 4, false))</f>
        <v>0</v>
      </c>
      <c r="H255" s="46">
        <f>if(ISNA(vlookup($A255, RotoWire!$B$2:$E$681, 4, false)), 0, vlookup($A255, RotoWire!$B$2:$E$681, 4, false))</f>
        <v>0</v>
      </c>
      <c r="I255" s="47">
        <f t="shared" si="1"/>
        <v>0</v>
      </c>
      <c r="J255" s="47">
        <f t="shared" si="2"/>
        <v>0</v>
      </c>
    </row>
    <row r="256">
      <c r="A256" s="44" t="s">
        <v>290</v>
      </c>
      <c r="B256" s="45" t="s">
        <v>23</v>
      </c>
      <c r="C256" s="45" t="s">
        <v>43</v>
      </c>
      <c r="D256" s="45">
        <v>8.0</v>
      </c>
      <c r="E256" s="46">
        <f>if(ISNA(vlookup($A256, ESPN!$B$2:$E$281, 4, false)), 0, vlookup($A256, ESPN!$B$2:$E$281, 4, false))</f>
        <v>0</v>
      </c>
      <c r="F256" s="46">
        <f>if(ISNA(vlookup($A256, Scout.com!$B$2:$E$239, 4, false)), 0, vlookup($A256, Scout.com!$B$2:$E$239, 4, false))</f>
        <v>0</v>
      </c>
      <c r="G256" s="46">
        <f>if(ISNA(vlookup($A256, FantasyPro!$B$2:$E$318, 4, false)), 0, vlookup($A256, FantasyPro!$B$2:$E$318, 4, false))</f>
        <v>0</v>
      </c>
      <c r="H256" s="46">
        <f>if(ISNA(vlookup($A256, RotoWire!$B$2:$E$681, 4, false)), 0, vlookup($A256, RotoWire!$B$2:$E$681, 4, false))</f>
        <v>0</v>
      </c>
      <c r="I256" s="47">
        <f t="shared" si="1"/>
        <v>0</v>
      </c>
      <c r="J256" s="47">
        <f t="shared" si="2"/>
        <v>0</v>
      </c>
    </row>
    <row r="257">
      <c r="A257" s="44" t="s">
        <v>607</v>
      </c>
      <c r="B257" s="45" t="s">
        <v>70</v>
      </c>
      <c r="C257" s="45" t="s">
        <v>17</v>
      </c>
      <c r="D257" s="45">
        <v>11.0</v>
      </c>
      <c r="E257" s="46">
        <f>if(ISNA(vlookup($A257, ESPN!$B$2:$E$281, 4, false)), 0, vlookup($A257, ESPN!$B$2:$E$281, 4, false))</f>
        <v>0</v>
      </c>
      <c r="F257" s="46">
        <f>if(ISNA(vlookup($A257, Scout.com!$B$2:$E$239, 4, false)), 0, vlookup($A257, Scout.com!$B$2:$E$239, 4, false))</f>
        <v>0</v>
      </c>
      <c r="G257" s="46">
        <f>if(ISNA(vlookup($A257, FantasyPro!$B$2:$E$318, 4, false)), 0, vlookup($A257, FantasyPro!$B$2:$E$318, 4, false))</f>
        <v>0</v>
      </c>
      <c r="H257" s="46">
        <f>if(ISNA(vlookup($A257, RotoWire!$B$2:$E$681, 4, false)), 0, vlookup($A257, RotoWire!$B$2:$E$681, 4, false))</f>
        <v>0</v>
      </c>
      <c r="I257" s="47">
        <f t="shared" si="1"/>
        <v>0</v>
      </c>
      <c r="J257" s="47">
        <f t="shared" si="2"/>
        <v>0</v>
      </c>
    </row>
    <row r="258">
      <c r="A258" s="44" t="s">
        <v>632</v>
      </c>
      <c r="B258" s="45" t="s">
        <v>34</v>
      </c>
      <c r="C258" s="45" t="s">
        <v>43</v>
      </c>
      <c r="D258" s="45">
        <v>8.0</v>
      </c>
      <c r="E258" s="46">
        <f>if(ISNA(vlookup($A258, ESPN!$B$2:$E$281, 4, false)), 0, vlookup($A258, ESPN!$B$2:$E$281, 4, false))</f>
        <v>0</v>
      </c>
      <c r="F258" s="46">
        <f>if(ISNA(vlookup($A258, Scout.com!$B$2:$E$239, 4, false)), 0, vlookup($A258, Scout.com!$B$2:$E$239, 4, false))</f>
        <v>0</v>
      </c>
      <c r="G258" s="46">
        <f>if(ISNA(vlookup($A258, FantasyPro!$B$2:$E$318, 4, false)), 0, vlookup($A258, FantasyPro!$B$2:$E$318, 4, false))</f>
        <v>0</v>
      </c>
      <c r="H258" s="46">
        <f>if(ISNA(vlookup($A258, RotoWire!$B$2:$E$681, 4, false)), 0, vlookup($A258, RotoWire!$B$2:$E$681, 4, false))</f>
        <v>0</v>
      </c>
      <c r="I258" s="47">
        <f t="shared" si="1"/>
        <v>0</v>
      </c>
      <c r="J258" s="47">
        <f t="shared" si="2"/>
        <v>0</v>
      </c>
    </row>
    <row r="259">
      <c r="A259" s="44" t="s">
        <v>207</v>
      </c>
      <c r="B259" s="48" t="s">
        <v>30</v>
      </c>
      <c r="C259" s="45" t="s">
        <v>43</v>
      </c>
      <c r="D259" s="45">
        <v>9.0</v>
      </c>
      <c r="E259" s="46">
        <f>if(ISNA(vlookup($A259, ESPN!$B$2:$E$281, 4, false)), 0, vlookup($A259, ESPN!$B$2:$E$281, 4, false))</f>
        <v>0</v>
      </c>
      <c r="F259" s="46">
        <f>if(ISNA(vlookup($A259, Scout.com!$B$2:$E$239, 4, false)), 0, vlookup($A259, Scout.com!$B$2:$E$239, 4, false))</f>
        <v>0</v>
      </c>
      <c r="G259" s="46">
        <f>if(ISNA(vlookup($A259, FantasyPro!$B$2:$E$318, 4, false)), 0, vlookup($A259, FantasyPro!$B$2:$E$318, 4, false))</f>
        <v>0</v>
      </c>
      <c r="H259" s="46">
        <f>if(ISNA(vlookup($A259, RotoWire!$B$2:$E$681, 4, false)), 0, vlookup($A259, RotoWire!$B$2:$E$681, 4, false))</f>
        <v>0</v>
      </c>
      <c r="I259" s="47">
        <f t="shared" si="1"/>
        <v>0</v>
      </c>
      <c r="J259" s="47">
        <f t="shared" si="2"/>
        <v>0</v>
      </c>
    </row>
    <row r="260">
      <c r="A260" s="44" t="s">
        <v>433</v>
      </c>
      <c r="B260" s="45" t="s">
        <v>21</v>
      </c>
      <c r="C260" s="45" t="s">
        <v>43</v>
      </c>
      <c r="D260" s="45">
        <v>6.0</v>
      </c>
      <c r="E260" s="46">
        <f>if(ISNA(vlookup($A260, ESPN!$B$2:$E$281, 4, false)), 0, vlookup($A260, ESPN!$B$2:$E$281, 4, false))</f>
        <v>0</v>
      </c>
      <c r="F260" s="46">
        <f>if(ISNA(vlookup($A260, Scout.com!$B$2:$E$239, 4, false)), 0, vlookup($A260, Scout.com!$B$2:$E$239, 4, false))</f>
        <v>0</v>
      </c>
      <c r="G260" s="46">
        <f>if(ISNA(vlookup($A260, FantasyPro!$B$2:$E$318, 4, false)), 0, vlookup($A260, FantasyPro!$B$2:$E$318, 4, false))</f>
        <v>0</v>
      </c>
      <c r="H260" s="46">
        <f>if(ISNA(vlookup($A260, RotoWire!$B$2:$E$681, 4, false)), 0, vlookup($A260, RotoWire!$B$2:$E$681, 4, false))</f>
        <v>0</v>
      </c>
      <c r="I260" s="47">
        <f t="shared" si="1"/>
        <v>0</v>
      </c>
      <c r="J260" s="47">
        <f t="shared" si="2"/>
        <v>0</v>
      </c>
    </row>
    <row r="261">
      <c r="A261" s="44" t="s">
        <v>533</v>
      </c>
      <c r="B261" s="45" t="s">
        <v>51</v>
      </c>
      <c r="C261" s="45" t="s">
        <v>17</v>
      </c>
      <c r="D261" s="45">
        <v>5.0</v>
      </c>
      <c r="E261" s="46">
        <f>if(ISNA(vlookup($A261, ESPN!$B$2:$E$281, 4, false)), 0, vlookup($A261, ESPN!$B$2:$E$281, 4, false))</f>
        <v>0</v>
      </c>
      <c r="F261" s="46">
        <f>if(ISNA(vlookup($A261, Scout.com!$B$2:$E$239, 4, false)), 0, vlookup($A261, Scout.com!$B$2:$E$239, 4, false))</f>
        <v>0</v>
      </c>
      <c r="G261" s="46">
        <f>if(ISNA(vlookup($A261, FantasyPro!$B$2:$E$318, 4, false)), 0, vlookup($A261, FantasyPro!$B$2:$E$318, 4, false))</f>
        <v>0</v>
      </c>
      <c r="H261" s="46">
        <f>if(ISNA(vlookup($A261, RotoWire!$B$2:$E$681, 4, false)), 0, vlookup($A261, RotoWire!$B$2:$E$681, 4, false))</f>
        <v>0</v>
      </c>
      <c r="I261" s="47">
        <f t="shared" si="1"/>
        <v>0</v>
      </c>
      <c r="J261" s="47">
        <f t="shared" si="2"/>
        <v>0</v>
      </c>
    </row>
    <row r="262">
      <c r="A262" s="44" t="s">
        <v>462</v>
      </c>
      <c r="B262" s="45" t="s">
        <v>51</v>
      </c>
      <c r="C262" s="45" t="s">
        <v>7</v>
      </c>
      <c r="D262" s="45">
        <v>5.0</v>
      </c>
      <c r="E262" s="46">
        <f>if(ISNA(vlookup($A262, ESPN!$B$2:$E$281, 4, false)), 0, vlookup($A262, ESPN!$B$2:$E$281, 4, false))</f>
        <v>0</v>
      </c>
      <c r="F262" s="46">
        <f>if(ISNA(vlookup($A262, Scout.com!$B$2:$E$239, 4, false)), 0, vlookup($A262, Scout.com!$B$2:$E$239, 4, false))</f>
        <v>0</v>
      </c>
      <c r="G262" s="46">
        <f>if(ISNA(vlookup($A262, FantasyPro!$B$2:$E$318, 4, false)), 0, vlookup($A262, FantasyPro!$B$2:$E$318, 4, false))</f>
        <v>0</v>
      </c>
      <c r="H262" s="46">
        <f>if(ISNA(vlookup($A262, RotoWire!$B$2:$E$681, 4, false)), 0, vlookup($A262, RotoWire!$B$2:$E$681, 4, false))</f>
        <v>0</v>
      </c>
      <c r="I262" s="47">
        <f t="shared" si="1"/>
        <v>0</v>
      </c>
      <c r="J262" s="47">
        <f t="shared" si="2"/>
        <v>0</v>
      </c>
    </row>
    <row r="263">
      <c r="A263" s="44" t="s">
        <v>648</v>
      </c>
      <c r="B263" s="45" t="s">
        <v>83</v>
      </c>
      <c r="C263" s="45" t="s">
        <v>97</v>
      </c>
      <c r="D263" s="45">
        <v>8.0</v>
      </c>
      <c r="E263" s="46">
        <f>if(ISNA(vlookup($A263, ESPN!$B$2:$E$281, 4, false)), 0, vlookup($A263, ESPN!$B$2:$E$281, 4, false))</f>
        <v>0</v>
      </c>
      <c r="F263" s="46">
        <f>if(ISNA(vlookup($A263, Scout.com!$B$2:$E$239, 4, false)), 0, vlookup($A263, Scout.com!$B$2:$E$239, 4, false))</f>
        <v>0</v>
      </c>
      <c r="G263" s="46">
        <f>if(ISNA(vlookup($A263, FantasyPro!$B$2:$E$318, 4, false)), 0, vlookup($A263, FantasyPro!$B$2:$E$318, 4, false))</f>
        <v>0</v>
      </c>
      <c r="H263" s="46">
        <f>if(ISNA(vlookup($A263, RotoWire!$B$2:$E$681, 4, false)), 0, vlookup($A263, RotoWire!$B$2:$E$681, 4, false))</f>
        <v>0</v>
      </c>
      <c r="I263" s="47">
        <f t="shared" si="1"/>
        <v>0</v>
      </c>
      <c r="J263" s="47">
        <f t="shared" si="2"/>
        <v>0</v>
      </c>
    </row>
    <row r="264">
      <c r="A264" s="44" t="s">
        <v>411</v>
      </c>
      <c r="B264" s="45" t="s">
        <v>172</v>
      </c>
      <c r="C264" s="45" t="s">
        <v>219</v>
      </c>
      <c r="D264" s="49"/>
      <c r="E264" s="46">
        <f>if(ISNA(vlookup($A264, ESPN!$B$2:$E$281, 4, false)), 0, vlookup($A264, ESPN!$B$2:$E$281, 4, false))</f>
        <v>0</v>
      </c>
      <c r="F264" s="46">
        <f>if(ISNA(vlookup($A264, Scout.com!$B$2:$E$239, 4, false)), 0, vlookup($A264, Scout.com!$B$2:$E$239, 4, false))</f>
        <v>0</v>
      </c>
      <c r="G264" s="46">
        <f>if(ISNA(vlookup($A264, FantasyPro!$B$2:$E$318, 4, false)), 0, vlookup($A264, FantasyPro!$B$2:$E$318, 4, false))</f>
        <v>0</v>
      </c>
      <c r="H264" s="46">
        <f>if(ISNA(vlookup($A264, RotoWire!$B$2:$E$681, 4, false)), 0, vlookup($A264, RotoWire!$B$2:$E$681, 4, false))</f>
        <v>0</v>
      </c>
      <c r="I264" s="47">
        <f t="shared" si="1"/>
        <v>0</v>
      </c>
      <c r="J264" s="47">
        <f t="shared" si="2"/>
        <v>0</v>
      </c>
    </row>
    <row r="265">
      <c r="A265" s="44" t="s">
        <v>490</v>
      </c>
      <c r="B265" s="45" t="s">
        <v>13</v>
      </c>
      <c r="C265" s="45" t="s">
        <v>7</v>
      </c>
      <c r="D265" s="45">
        <v>8.0</v>
      </c>
      <c r="E265" s="46">
        <f>if(ISNA(vlookup($A265, ESPN!$B$2:$E$281, 4, false)), 0, vlookup($A265, ESPN!$B$2:$E$281, 4, false))</f>
        <v>0</v>
      </c>
      <c r="F265" s="46">
        <f>if(ISNA(vlookup($A265, Scout.com!$B$2:$E$239, 4, false)), 0, vlookup($A265, Scout.com!$B$2:$E$239, 4, false))</f>
        <v>0</v>
      </c>
      <c r="G265" s="46">
        <f>if(ISNA(vlookup($A265, FantasyPro!$B$2:$E$318, 4, false)), 0, vlookup($A265, FantasyPro!$B$2:$E$318, 4, false))</f>
        <v>0</v>
      </c>
      <c r="H265" s="46">
        <f>if(ISNA(vlookup($A265, RotoWire!$B$2:$E$681, 4, false)), 0, vlookup($A265, RotoWire!$B$2:$E$681, 4, false))</f>
        <v>0</v>
      </c>
      <c r="I265" s="47">
        <f t="shared" si="1"/>
        <v>0</v>
      </c>
      <c r="J265" s="47">
        <f t="shared" si="2"/>
        <v>0</v>
      </c>
    </row>
    <row r="266">
      <c r="A266" s="44" t="s">
        <v>571</v>
      </c>
      <c r="B266" s="45" t="s">
        <v>172</v>
      </c>
      <c r="C266" s="45" t="s">
        <v>7</v>
      </c>
      <c r="D266" s="49"/>
      <c r="E266" s="46">
        <f>if(ISNA(vlookup($A266, ESPN!$B$2:$E$281, 4, false)), 0, vlookup($A266, ESPN!$B$2:$E$281, 4, false))</f>
        <v>0</v>
      </c>
      <c r="F266" s="46">
        <f>if(ISNA(vlookup($A266, Scout.com!$B$2:$E$239, 4, false)), 0, vlookup($A266, Scout.com!$B$2:$E$239, 4, false))</f>
        <v>0</v>
      </c>
      <c r="G266" s="46">
        <f>if(ISNA(vlookup($A266, FantasyPro!$B$2:$E$318, 4, false)), 0, vlookup($A266, FantasyPro!$B$2:$E$318, 4, false))</f>
        <v>0</v>
      </c>
      <c r="H266" s="46">
        <f>if(ISNA(vlookup($A266, RotoWire!$B$2:$E$681, 4, false)), 0, vlookup($A266, RotoWire!$B$2:$E$681, 4, false))</f>
        <v>0</v>
      </c>
      <c r="I266" s="47">
        <f t="shared" si="1"/>
        <v>0</v>
      </c>
      <c r="J266" s="47">
        <f t="shared" si="2"/>
        <v>0</v>
      </c>
    </row>
    <row r="267">
      <c r="A267" s="44" t="s">
        <v>419</v>
      </c>
      <c r="B267" s="45" t="s">
        <v>21</v>
      </c>
      <c r="C267" s="45" t="s">
        <v>7</v>
      </c>
      <c r="D267" s="45">
        <v>6.0</v>
      </c>
      <c r="E267" s="46">
        <f>if(ISNA(vlookup($A267, ESPN!$B$2:$E$281, 4, false)), 0, vlookup($A267, ESPN!$B$2:$E$281, 4, false))</f>
        <v>0</v>
      </c>
      <c r="F267" s="46">
        <f>if(ISNA(vlookup($A267, Scout.com!$B$2:$E$239, 4, false)), 0, vlookup($A267, Scout.com!$B$2:$E$239, 4, false))</f>
        <v>0</v>
      </c>
      <c r="G267" s="46">
        <f>if(ISNA(vlookup($A267, FantasyPro!$B$2:$E$318, 4, false)), 0, vlookup($A267, FantasyPro!$B$2:$E$318, 4, false))</f>
        <v>0</v>
      </c>
      <c r="H267" s="46">
        <f>if(ISNA(vlookup($A267, RotoWire!$B$2:$E$681, 4, false)), 0, vlookup($A267, RotoWire!$B$2:$E$681, 4, false))</f>
        <v>0</v>
      </c>
      <c r="I267" s="47">
        <f t="shared" si="1"/>
        <v>0</v>
      </c>
      <c r="J267" s="47">
        <f t="shared" si="2"/>
        <v>0</v>
      </c>
    </row>
    <row r="268">
      <c r="A268" s="44" t="s">
        <v>560</v>
      </c>
      <c r="B268" s="45" t="s">
        <v>15</v>
      </c>
      <c r="C268" s="45" t="s">
        <v>7</v>
      </c>
      <c r="D268" s="45">
        <v>11.0</v>
      </c>
      <c r="E268" s="46">
        <f>if(ISNA(vlookup($A268, ESPN!$B$2:$E$281, 4, false)), 0, vlookup($A268, ESPN!$B$2:$E$281, 4, false))</f>
        <v>0</v>
      </c>
      <c r="F268" s="46">
        <f>if(ISNA(vlookup($A268, Scout.com!$B$2:$E$239, 4, false)), 0, vlookup($A268, Scout.com!$B$2:$E$239, 4, false))</f>
        <v>0</v>
      </c>
      <c r="G268" s="46">
        <f>if(ISNA(vlookup($A268, FantasyPro!$B$2:$E$318, 4, false)), 0, vlookup($A268, FantasyPro!$B$2:$E$318, 4, false))</f>
        <v>0</v>
      </c>
      <c r="H268" s="46">
        <f>if(ISNA(vlookup($A268, RotoWire!$B$2:$E$681, 4, false)), 0, vlookup($A268, RotoWire!$B$2:$E$681, 4, false))</f>
        <v>0</v>
      </c>
      <c r="I268" s="47">
        <f t="shared" si="1"/>
        <v>0</v>
      </c>
      <c r="J268" s="47">
        <f t="shared" si="2"/>
        <v>0</v>
      </c>
    </row>
    <row r="269">
      <c r="A269" s="44" t="s">
        <v>496</v>
      </c>
      <c r="B269" s="45" t="s">
        <v>172</v>
      </c>
      <c r="C269" s="45" t="s">
        <v>17</v>
      </c>
      <c r="D269" s="49"/>
      <c r="E269" s="46">
        <f>if(ISNA(vlookup($A269, ESPN!$B$2:$E$281, 4, false)), 0, vlookup($A269, ESPN!$B$2:$E$281, 4, false))</f>
        <v>0</v>
      </c>
      <c r="F269" s="46">
        <f>if(ISNA(vlookup($A269, Scout.com!$B$2:$E$239, 4, false)), 0, vlookup($A269, Scout.com!$B$2:$E$239, 4, false))</f>
        <v>0</v>
      </c>
      <c r="G269" s="46">
        <f>if(ISNA(vlookup($A269, FantasyPro!$B$2:$E$318, 4, false)), 0, vlookup($A269, FantasyPro!$B$2:$E$318, 4, false))</f>
        <v>0</v>
      </c>
      <c r="H269" s="46">
        <f>if(ISNA(vlookup($A269, RotoWire!$B$2:$E$681, 4, false)), 0, vlookup($A269, RotoWire!$B$2:$E$681, 4, false))</f>
        <v>0</v>
      </c>
      <c r="I269" s="47">
        <f t="shared" si="1"/>
        <v>0</v>
      </c>
      <c r="J269" s="47">
        <f t="shared" si="2"/>
        <v>0</v>
      </c>
    </row>
    <row r="270">
      <c r="A270" s="44" t="s">
        <v>449</v>
      </c>
      <c r="B270" s="45" t="s">
        <v>172</v>
      </c>
      <c r="C270" s="45" t="s">
        <v>17</v>
      </c>
      <c r="D270" s="49"/>
      <c r="E270" s="46">
        <f>if(ISNA(vlookup($A270, ESPN!$B$2:$E$281, 4, false)), 0, vlookup($A270, ESPN!$B$2:$E$281, 4, false))</f>
        <v>0</v>
      </c>
      <c r="F270" s="46">
        <f>if(ISNA(vlookup($A270, Scout.com!$B$2:$E$239, 4, false)), 0, vlookup($A270, Scout.com!$B$2:$E$239, 4, false))</f>
        <v>0</v>
      </c>
      <c r="G270" s="46">
        <f>if(ISNA(vlookup($A270, FantasyPro!$B$2:$E$318, 4, false)), 0, vlookup($A270, FantasyPro!$B$2:$E$318, 4, false))</f>
        <v>0</v>
      </c>
      <c r="H270" s="46">
        <f>if(ISNA(vlookup($A270, RotoWire!$B$2:$E$681, 4, false)), 0, vlookup($A270, RotoWire!$B$2:$E$681, 4, false))</f>
        <v>0</v>
      </c>
      <c r="I270" s="47">
        <f t="shared" si="1"/>
        <v>0</v>
      </c>
      <c r="J270" s="47">
        <f t="shared" si="2"/>
        <v>0</v>
      </c>
    </row>
    <row r="271">
      <c r="A271" s="44" t="s">
        <v>272</v>
      </c>
      <c r="B271" s="45" t="s">
        <v>65</v>
      </c>
      <c r="C271" s="45" t="s">
        <v>17</v>
      </c>
      <c r="D271" s="45">
        <v>7.0</v>
      </c>
      <c r="E271" s="46">
        <f>if(ISNA(vlookup($A271, ESPN!$B$2:$E$281, 4, false)), 0, vlookup($A271, ESPN!$B$2:$E$281, 4, false))</f>
        <v>0</v>
      </c>
      <c r="F271" s="46">
        <f>if(ISNA(vlookup($A271, Scout.com!$B$2:$E$239, 4, false)), 0, vlookup($A271, Scout.com!$B$2:$E$239, 4, false))</f>
        <v>0</v>
      </c>
      <c r="G271" s="46">
        <f>if(ISNA(vlookup($A271, FantasyPro!$B$2:$E$318, 4, false)), 0, vlookup($A271, FantasyPro!$B$2:$E$318, 4, false))</f>
        <v>0</v>
      </c>
      <c r="H271" s="46">
        <f>if(ISNA(vlookup($A271, RotoWire!$B$2:$E$681, 4, false)), 0, vlookup($A271, RotoWire!$B$2:$E$681, 4, false))</f>
        <v>0</v>
      </c>
      <c r="I271" s="47">
        <f t="shared" si="1"/>
        <v>0</v>
      </c>
      <c r="J271" s="47">
        <f t="shared" si="2"/>
        <v>0</v>
      </c>
    </row>
    <row r="272">
      <c r="A272" s="44" t="s">
        <v>396</v>
      </c>
      <c r="B272" s="45" t="s">
        <v>63</v>
      </c>
      <c r="C272" s="45" t="s">
        <v>219</v>
      </c>
      <c r="D272" s="45">
        <v>10.0</v>
      </c>
      <c r="E272" s="46">
        <f>if(ISNA(vlookup($A272, ESPN!$B$2:$E$281, 4, false)), 0, vlookup($A272, ESPN!$B$2:$E$281, 4, false))</f>
        <v>0</v>
      </c>
      <c r="F272" s="46">
        <f>if(ISNA(vlookup($A272, Scout.com!$B$2:$E$239, 4, false)), 0, vlookup($A272, Scout.com!$B$2:$E$239, 4, false))</f>
        <v>0</v>
      </c>
      <c r="G272" s="46">
        <f>if(ISNA(vlookup($A272, FantasyPro!$B$2:$E$318, 4, false)), 0, vlookup($A272, FantasyPro!$B$2:$E$318, 4, false))</f>
        <v>0</v>
      </c>
      <c r="H272" s="46">
        <f>if(ISNA(vlookup($A272, RotoWire!$B$2:$E$681, 4, false)), 0, vlookup($A272, RotoWire!$B$2:$E$681, 4, false))</f>
        <v>0</v>
      </c>
      <c r="I272" s="47">
        <f t="shared" si="1"/>
        <v>0</v>
      </c>
      <c r="J272" s="47">
        <f t="shared" si="2"/>
        <v>0</v>
      </c>
    </row>
    <row r="273">
      <c r="A273" s="44" t="s">
        <v>457</v>
      </c>
      <c r="B273" s="45" t="s">
        <v>53</v>
      </c>
      <c r="C273" s="45" t="s">
        <v>7</v>
      </c>
      <c r="D273" s="45">
        <v>9.0</v>
      </c>
      <c r="E273" s="46">
        <f>if(ISNA(vlookup($A273, ESPN!$B$2:$E$281, 4, false)), 0, vlookup($A273, ESPN!$B$2:$E$281, 4, false))</f>
        <v>0</v>
      </c>
      <c r="F273" s="46">
        <f>if(ISNA(vlookup($A273, Scout.com!$B$2:$E$239, 4, false)), 0, vlookup($A273, Scout.com!$B$2:$E$239, 4, false))</f>
        <v>0</v>
      </c>
      <c r="G273" s="46">
        <f>if(ISNA(vlookup($A273, FantasyPro!$B$2:$E$318, 4, false)), 0, vlookup($A273, FantasyPro!$B$2:$E$318, 4, false))</f>
        <v>0</v>
      </c>
      <c r="H273" s="46">
        <f>if(ISNA(vlookup($A273, RotoWire!$B$2:$E$681, 4, false)), 0, vlookup($A273, RotoWire!$B$2:$E$681, 4, false))</f>
        <v>0</v>
      </c>
      <c r="I273" s="47">
        <f t="shared" si="1"/>
        <v>0</v>
      </c>
      <c r="J273" s="47">
        <f t="shared" si="2"/>
        <v>0</v>
      </c>
    </row>
    <row r="274">
      <c r="A274" s="44" t="s">
        <v>685</v>
      </c>
      <c r="B274" s="45" t="s">
        <v>172</v>
      </c>
      <c r="C274" s="45" t="s">
        <v>97</v>
      </c>
      <c r="D274" s="49"/>
      <c r="E274" s="46">
        <f>if(ISNA(vlookup($A274, ESPN!$B$2:$E$281, 4, false)), 0, vlookup($A274, ESPN!$B$2:$E$281, 4, false))</f>
        <v>0</v>
      </c>
      <c r="F274" s="46">
        <f>if(ISNA(vlookup($A274, Scout.com!$B$2:$E$239, 4, false)), 0, vlookup($A274, Scout.com!$B$2:$E$239, 4, false))</f>
        <v>0</v>
      </c>
      <c r="G274" s="46">
        <f>if(ISNA(vlookup($A274, FantasyPro!$B$2:$E$318, 4, false)), 0, vlookup($A274, FantasyPro!$B$2:$E$318, 4, false))</f>
        <v>0</v>
      </c>
      <c r="H274" s="46">
        <f>if(ISNA(vlookup($A274, RotoWire!$B$2:$E$681, 4, false)), 0, vlookup($A274, RotoWire!$B$2:$E$681, 4, false))</f>
        <v>0</v>
      </c>
      <c r="I274" s="47">
        <f t="shared" si="1"/>
        <v>0</v>
      </c>
      <c r="J274" s="47">
        <f t="shared" si="2"/>
        <v>0</v>
      </c>
    </row>
    <row r="275">
      <c r="A275" s="44" t="s">
        <v>666</v>
      </c>
      <c r="B275" s="45" t="s">
        <v>26</v>
      </c>
      <c r="C275" s="45" t="s">
        <v>97</v>
      </c>
      <c r="D275" s="45">
        <v>10.0</v>
      </c>
      <c r="E275" s="46">
        <f>if(ISNA(vlookup($A275, ESPN!$B$2:$E$281, 4, false)), 0, vlookup($A275, ESPN!$B$2:$E$281, 4, false))</f>
        <v>0</v>
      </c>
      <c r="F275" s="46">
        <f>if(ISNA(vlookup($A275, Scout.com!$B$2:$E$239, 4, false)), 0, vlookup($A275, Scout.com!$B$2:$E$239, 4, false))</f>
        <v>0</v>
      </c>
      <c r="G275" s="46">
        <f>if(ISNA(vlookup($A275, FantasyPro!$B$2:$E$318, 4, false)), 0, vlookup($A275, FantasyPro!$B$2:$E$318, 4, false))</f>
        <v>0</v>
      </c>
      <c r="H275" s="46">
        <f>if(ISNA(vlookup($A275, RotoWire!$B$2:$E$681, 4, false)), 0, vlookup($A275, RotoWire!$B$2:$E$681, 4, false))</f>
        <v>0</v>
      </c>
      <c r="I275" s="47">
        <f t="shared" si="1"/>
        <v>0</v>
      </c>
      <c r="J275" s="47">
        <f t="shared" si="2"/>
        <v>0</v>
      </c>
    </row>
    <row r="276">
      <c r="A276" s="44" t="s">
        <v>604</v>
      </c>
      <c r="B276" s="45" t="s">
        <v>15</v>
      </c>
      <c r="C276" s="45" t="s">
        <v>17</v>
      </c>
      <c r="D276" s="45">
        <v>11.0</v>
      </c>
      <c r="E276" s="46">
        <f>if(ISNA(vlookup($A276, ESPN!$B$2:$E$281, 4, false)), 0, vlookup($A276, ESPN!$B$2:$E$281, 4, false))</f>
        <v>0</v>
      </c>
      <c r="F276" s="46">
        <f>if(ISNA(vlookup($A276, Scout.com!$B$2:$E$239, 4, false)), 0, vlookup($A276, Scout.com!$B$2:$E$239, 4, false))</f>
        <v>0</v>
      </c>
      <c r="G276" s="46">
        <f>if(ISNA(vlookup($A276, FantasyPro!$B$2:$E$318, 4, false)), 0, vlookup($A276, FantasyPro!$B$2:$E$318, 4, false))</f>
        <v>0</v>
      </c>
      <c r="H276" s="46">
        <f>if(ISNA(vlookup($A276, RotoWire!$B$2:$E$681, 4, false)), 0, vlookup($A276, RotoWire!$B$2:$E$681, 4, false))</f>
        <v>0</v>
      </c>
      <c r="I276" s="47">
        <f t="shared" si="1"/>
        <v>0</v>
      </c>
      <c r="J276" s="47">
        <f t="shared" si="2"/>
        <v>0</v>
      </c>
    </row>
    <row r="277">
      <c r="A277" s="44" t="s">
        <v>566</v>
      </c>
      <c r="B277" s="45" t="s">
        <v>26</v>
      </c>
      <c r="C277" s="45" t="s">
        <v>17</v>
      </c>
      <c r="D277" s="45">
        <v>10.0</v>
      </c>
      <c r="E277" s="46">
        <f>if(ISNA(vlookup($A277, ESPN!$B$2:$E$281, 4, false)), 0, vlookup($A277, ESPN!$B$2:$E$281, 4, false))</f>
        <v>0</v>
      </c>
      <c r="F277" s="46">
        <f>if(ISNA(vlookup($A277, Scout.com!$B$2:$E$239, 4, false)), 0, vlookup($A277, Scout.com!$B$2:$E$239, 4, false))</f>
        <v>0</v>
      </c>
      <c r="G277" s="46">
        <f>if(ISNA(vlookup($A277, FantasyPro!$B$2:$E$318, 4, false)), 0, vlookup($A277, FantasyPro!$B$2:$E$318, 4, false))</f>
        <v>0</v>
      </c>
      <c r="H277" s="46">
        <f>if(ISNA(vlookup($A277, RotoWire!$B$2:$E$681, 4, false)), 0, vlookup($A277, RotoWire!$B$2:$E$681, 4, false))</f>
        <v>0</v>
      </c>
      <c r="I277" s="47">
        <f t="shared" si="1"/>
        <v>0</v>
      </c>
      <c r="J277" s="47">
        <f t="shared" si="2"/>
        <v>0</v>
      </c>
    </row>
    <row r="278">
      <c r="A278" s="44" t="s">
        <v>612</v>
      </c>
      <c r="B278" s="45" t="s">
        <v>172</v>
      </c>
      <c r="C278" s="45" t="s">
        <v>43</v>
      </c>
      <c r="D278" s="49"/>
      <c r="E278" s="46">
        <f>if(ISNA(vlookup($A278, ESPN!$B$2:$E$281, 4, false)), 0, vlookup($A278, ESPN!$B$2:$E$281, 4, false))</f>
        <v>0</v>
      </c>
      <c r="F278" s="46">
        <f>if(ISNA(vlookup($A278, Scout.com!$B$2:$E$239, 4, false)), 0, vlookup($A278, Scout.com!$B$2:$E$239, 4, false))</f>
        <v>0</v>
      </c>
      <c r="G278" s="46">
        <f>if(ISNA(vlookup($A278, FantasyPro!$B$2:$E$318, 4, false)), 0, vlookup($A278, FantasyPro!$B$2:$E$318, 4, false))</f>
        <v>0</v>
      </c>
      <c r="H278" s="46">
        <f>if(ISNA(vlookup($A278, RotoWire!$B$2:$E$681, 4, false)), 0, vlookup($A278, RotoWire!$B$2:$E$681, 4, false))</f>
        <v>0</v>
      </c>
      <c r="I278" s="47">
        <f t="shared" si="1"/>
        <v>0</v>
      </c>
      <c r="J278" s="47">
        <f t="shared" si="2"/>
        <v>0</v>
      </c>
    </row>
    <row r="279">
      <c r="A279" s="44" t="s">
        <v>565</v>
      </c>
      <c r="B279" s="45" t="s">
        <v>88</v>
      </c>
      <c r="C279" s="45" t="s">
        <v>17</v>
      </c>
      <c r="D279" s="45">
        <v>10.0</v>
      </c>
      <c r="E279" s="46">
        <f>if(ISNA(vlookup($A279, ESPN!$B$2:$E$281, 4, false)), 0, vlookup($A279, ESPN!$B$2:$E$281, 4, false))</f>
        <v>0</v>
      </c>
      <c r="F279" s="46">
        <f>if(ISNA(vlookup($A279, Scout.com!$B$2:$E$239, 4, false)), 0, vlookup($A279, Scout.com!$B$2:$E$239, 4, false))</f>
        <v>0</v>
      </c>
      <c r="G279" s="46">
        <f>if(ISNA(vlookup($A279, FantasyPro!$B$2:$E$318, 4, false)), 0, vlookup($A279, FantasyPro!$B$2:$E$318, 4, false))</f>
        <v>0</v>
      </c>
      <c r="H279" s="46">
        <f>if(ISNA(vlookup($A279, RotoWire!$B$2:$E$681, 4, false)), 0, vlookup($A279, RotoWire!$B$2:$E$681, 4, false))</f>
        <v>0</v>
      </c>
      <c r="I279" s="47">
        <f t="shared" si="1"/>
        <v>0</v>
      </c>
      <c r="J279" s="47">
        <f t="shared" si="2"/>
        <v>0</v>
      </c>
    </row>
    <row r="280">
      <c r="A280" s="44" t="s">
        <v>649</v>
      </c>
      <c r="B280" s="45" t="s">
        <v>47</v>
      </c>
      <c r="C280" s="45" t="s">
        <v>97</v>
      </c>
      <c r="D280" s="45">
        <v>7.0</v>
      </c>
      <c r="E280" s="46">
        <f>if(ISNA(vlookup($A280, ESPN!$B$2:$E$281, 4, false)), 0, vlookup($A280, ESPN!$B$2:$E$281, 4, false))</f>
        <v>0</v>
      </c>
      <c r="F280" s="46">
        <f>if(ISNA(vlookup($A280, Scout.com!$B$2:$E$239, 4, false)), 0, vlookup($A280, Scout.com!$B$2:$E$239, 4, false))</f>
        <v>0</v>
      </c>
      <c r="G280" s="46">
        <f>if(ISNA(vlookup($A280, FantasyPro!$B$2:$E$318, 4, false)), 0, vlookup($A280, FantasyPro!$B$2:$E$318, 4, false))</f>
        <v>0</v>
      </c>
      <c r="H280" s="46">
        <f>if(ISNA(vlookup($A280, RotoWire!$B$2:$E$681, 4, false)), 0, vlookup($A280, RotoWire!$B$2:$E$681, 4, false))</f>
        <v>0</v>
      </c>
      <c r="I280" s="47">
        <f t="shared" si="1"/>
        <v>0</v>
      </c>
      <c r="J280" s="47">
        <f t="shared" si="2"/>
        <v>0</v>
      </c>
    </row>
    <row r="281">
      <c r="A281" s="44" t="s">
        <v>489</v>
      </c>
      <c r="B281" s="45" t="s">
        <v>39</v>
      </c>
      <c r="C281" s="45" t="s">
        <v>7</v>
      </c>
      <c r="D281" s="45">
        <v>9.0</v>
      </c>
      <c r="E281" s="46">
        <f>if(ISNA(vlookup($A281, ESPN!$B$2:$E$281, 4, false)), 0, vlookup($A281, ESPN!$B$2:$E$281, 4, false))</f>
        <v>0</v>
      </c>
      <c r="F281" s="46">
        <f>if(ISNA(vlookup($A281, Scout.com!$B$2:$E$239, 4, false)), 0, vlookup($A281, Scout.com!$B$2:$E$239, 4, false))</f>
        <v>0</v>
      </c>
      <c r="G281" s="46">
        <f>if(ISNA(vlookup($A281, FantasyPro!$B$2:$E$318, 4, false)), 0, vlookup($A281, FantasyPro!$B$2:$E$318, 4, false))</f>
        <v>0</v>
      </c>
      <c r="H281" s="46">
        <f>if(ISNA(vlookup($A281, RotoWire!$B$2:$E$681, 4, false)), 0, vlookup($A281, RotoWire!$B$2:$E$681, 4, false))</f>
        <v>0</v>
      </c>
      <c r="I281" s="47">
        <f t="shared" si="1"/>
        <v>0</v>
      </c>
      <c r="J281" s="47">
        <f t="shared" si="2"/>
        <v>0</v>
      </c>
    </row>
    <row r="282">
      <c r="A282" s="44" t="s">
        <v>640</v>
      </c>
      <c r="B282" s="45" t="s">
        <v>15</v>
      </c>
      <c r="C282" s="45" t="s">
        <v>97</v>
      </c>
      <c r="D282" s="45">
        <v>11.0</v>
      </c>
      <c r="E282" s="46">
        <f>if(ISNA(vlookup($A282, ESPN!$B$2:$E$281, 4, false)), 0, vlookup($A282, ESPN!$B$2:$E$281, 4, false))</f>
        <v>0</v>
      </c>
      <c r="F282" s="46">
        <f>if(ISNA(vlookup($A282, Scout.com!$B$2:$E$239, 4, false)), 0, vlookup($A282, Scout.com!$B$2:$E$239, 4, false))</f>
        <v>0</v>
      </c>
      <c r="G282" s="46">
        <f>if(ISNA(vlookup($A282, FantasyPro!$B$2:$E$318, 4, false)), 0, vlookup($A282, FantasyPro!$B$2:$E$318, 4, false))</f>
        <v>0</v>
      </c>
      <c r="H282" s="46">
        <f>if(ISNA(vlookup($A282, RotoWire!$B$2:$E$681, 4, false)), 0, vlookup($A282, RotoWire!$B$2:$E$681, 4, false))</f>
        <v>0</v>
      </c>
      <c r="I282" s="47">
        <f t="shared" si="1"/>
        <v>0</v>
      </c>
      <c r="J282" s="47">
        <f t="shared" si="2"/>
        <v>0</v>
      </c>
    </row>
    <row r="283">
      <c r="A283" s="44" t="s">
        <v>550</v>
      </c>
      <c r="B283" s="45" t="s">
        <v>123</v>
      </c>
      <c r="C283" s="45" t="s">
        <v>17</v>
      </c>
      <c r="D283" s="45">
        <v>4.0</v>
      </c>
      <c r="E283" s="46">
        <f>if(ISNA(vlookup($A283, ESPN!$B$2:$E$281, 4, false)), 0, vlookup($A283, ESPN!$B$2:$E$281, 4, false))</f>
        <v>0</v>
      </c>
      <c r="F283" s="46">
        <f>if(ISNA(vlookup($A283, Scout.com!$B$2:$E$239, 4, false)), 0, vlookup($A283, Scout.com!$B$2:$E$239, 4, false))</f>
        <v>0</v>
      </c>
      <c r="G283" s="46">
        <f>if(ISNA(vlookup($A283, FantasyPro!$B$2:$E$318, 4, false)), 0, vlookup($A283, FantasyPro!$B$2:$E$318, 4, false))</f>
        <v>0</v>
      </c>
      <c r="H283" s="46">
        <f>if(ISNA(vlookup($A283, RotoWire!$B$2:$E$681, 4, false)), 0, vlookup($A283, RotoWire!$B$2:$E$681, 4, false))</f>
        <v>0</v>
      </c>
      <c r="I283" s="47">
        <f t="shared" si="1"/>
        <v>0</v>
      </c>
      <c r="J283" s="47">
        <f t="shared" si="2"/>
        <v>0</v>
      </c>
    </row>
    <row r="284">
      <c r="A284" s="44" t="s">
        <v>436</v>
      </c>
      <c r="B284" s="45" t="s">
        <v>11</v>
      </c>
      <c r="C284" s="45" t="s">
        <v>17</v>
      </c>
      <c r="D284" s="45">
        <v>9.0</v>
      </c>
      <c r="E284" s="46">
        <f>if(ISNA(vlookup($A284, ESPN!$B$2:$E$281, 4, false)), 0, vlookup($A284, ESPN!$B$2:$E$281, 4, false))</f>
        <v>0</v>
      </c>
      <c r="F284" s="46">
        <f>if(ISNA(vlookup($A284, Scout.com!$B$2:$E$239, 4, false)), 0, vlookup($A284, Scout.com!$B$2:$E$239, 4, false))</f>
        <v>0</v>
      </c>
      <c r="G284" s="46">
        <f>if(ISNA(vlookup($A284, FantasyPro!$B$2:$E$318, 4, false)), 0, vlookup($A284, FantasyPro!$B$2:$E$318, 4, false))</f>
        <v>0</v>
      </c>
      <c r="H284" s="46">
        <f>if(ISNA(vlookup($A284, RotoWire!$B$2:$E$681, 4, false)), 0, vlookup($A284, RotoWire!$B$2:$E$681, 4, false))</f>
        <v>0</v>
      </c>
      <c r="I284" s="47">
        <f t="shared" si="1"/>
        <v>0</v>
      </c>
      <c r="J284" s="47">
        <f t="shared" si="2"/>
        <v>0</v>
      </c>
    </row>
    <row r="285">
      <c r="A285" s="44" t="s">
        <v>636</v>
      </c>
      <c r="B285" s="45" t="s">
        <v>45</v>
      </c>
      <c r="C285" s="45" t="s">
        <v>97</v>
      </c>
      <c r="D285" s="45">
        <v>11.0</v>
      </c>
      <c r="E285" s="46">
        <f>if(ISNA(vlookup($A285, ESPN!$B$2:$E$281, 4, false)), 0, vlookup($A285, ESPN!$B$2:$E$281, 4, false))</f>
        <v>0</v>
      </c>
      <c r="F285" s="46">
        <f>if(ISNA(vlookup($A285, Scout.com!$B$2:$E$239, 4, false)), 0, vlookup($A285, Scout.com!$B$2:$E$239, 4, false))</f>
        <v>0</v>
      </c>
      <c r="G285" s="46">
        <f>if(ISNA(vlookup($A285, FantasyPro!$B$2:$E$318, 4, false)), 0, vlookup($A285, FantasyPro!$B$2:$E$318, 4, false))</f>
        <v>0</v>
      </c>
      <c r="H285" s="46">
        <f>if(ISNA(vlookup($A285, RotoWire!$B$2:$E$681, 4, false)), 0, vlookup($A285, RotoWire!$B$2:$E$681, 4, false))</f>
        <v>0</v>
      </c>
      <c r="I285" s="47">
        <f t="shared" si="1"/>
        <v>0</v>
      </c>
      <c r="J285" s="47">
        <f t="shared" si="2"/>
        <v>0</v>
      </c>
    </row>
    <row r="286">
      <c r="A286" s="44" t="s">
        <v>453</v>
      </c>
      <c r="B286" s="45" t="s">
        <v>26</v>
      </c>
      <c r="C286" s="45" t="s">
        <v>17</v>
      </c>
      <c r="D286" s="45">
        <v>10.0</v>
      </c>
      <c r="E286" s="46">
        <f>if(ISNA(vlookup($A286, ESPN!$B$2:$E$281, 4, false)), 0, vlookup($A286, ESPN!$B$2:$E$281, 4, false))</f>
        <v>0</v>
      </c>
      <c r="F286" s="46">
        <f>if(ISNA(vlookup($A286, Scout.com!$B$2:$E$239, 4, false)), 0, vlookup($A286, Scout.com!$B$2:$E$239, 4, false))</f>
        <v>0</v>
      </c>
      <c r="G286" s="46">
        <f>if(ISNA(vlookup($A286, FantasyPro!$B$2:$E$318, 4, false)), 0, vlookup($A286, FantasyPro!$B$2:$E$318, 4, false))</f>
        <v>0</v>
      </c>
      <c r="H286" s="46">
        <f>if(ISNA(vlookup($A286, RotoWire!$B$2:$E$681, 4, false)), 0, vlookup($A286, RotoWire!$B$2:$E$681, 4, false))</f>
        <v>0</v>
      </c>
      <c r="I286" s="47">
        <f t="shared" si="1"/>
        <v>0</v>
      </c>
      <c r="J286" s="47">
        <f t="shared" si="2"/>
        <v>0</v>
      </c>
    </row>
    <row r="287">
      <c r="A287" s="44" t="s">
        <v>639</v>
      </c>
      <c r="B287" s="45" t="s">
        <v>45</v>
      </c>
      <c r="C287" s="45" t="s">
        <v>97</v>
      </c>
      <c r="D287" s="45">
        <v>11.0</v>
      </c>
      <c r="E287" s="46">
        <f>if(ISNA(vlookup($A287, ESPN!$B$2:$E$281, 4, false)), 0, vlookup($A287, ESPN!$B$2:$E$281, 4, false))</f>
        <v>0</v>
      </c>
      <c r="F287" s="46">
        <f>if(ISNA(vlookup($A287, Scout.com!$B$2:$E$239, 4, false)), 0, vlookup($A287, Scout.com!$B$2:$E$239, 4, false))</f>
        <v>0</v>
      </c>
      <c r="G287" s="46">
        <f>if(ISNA(vlookup($A287, FantasyPro!$B$2:$E$318, 4, false)), 0, vlookup($A287, FantasyPro!$B$2:$E$318, 4, false))</f>
        <v>0</v>
      </c>
      <c r="H287" s="46">
        <f>if(ISNA(vlookup($A287, RotoWire!$B$2:$E$681, 4, false)), 0, vlookup($A287, RotoWire!$B$2:$E$681, 4, false))</f>
        <v>0</v>
      </c>
      <c r="I287" s="47">
        <f t="shared" si="1"/>
        <v>0</v>
      </c>
      <c r="J287" s="47">
        <f t="shared" si="2"/>
        <v>0</v>
      </c>
    </row>
    <row r="288">
      <c r="A288" s="44" t="s">
        <v>603</v>
      </c>
      <c r="B288" s="45" t="s">
        <v>60</v>
      </c>
      <c r="C288" s="45" t="s">
        <v>17</v>
      </c>
      <c r="D288" s="45">
        <v>9.0</v>
      </c>
      <c r="E288" s="46">
        <f>if(ISNA(vlookup($A288, ESPN!$B$2:$E$281, 4, false)), 0, vlookup($A288, ESPN!$B$2:$E$281, 4, false))</f>
        <v>0</v>
      </c>
      <c r="F288" s="46">
        <f>if(ISNA(vlookup($A288, Scout.com!$B$2:$E$239, 4, false)), 0, vlookup($A288, Scout.com!$B$2:$E$239, 4, false))</f>
        <v>0</v>
      </c>
      <c r="G288" s="46">
        <f>if(ISNA(vlookup($A288, FantasyPro!$B$2:$E$318, 4, false)), 0, vlookup($A288, FantasyPro!$B$2:$E$318, 4, false))</f>
        <v>0</v>
      </c>
      <c r="H288" s="46">
        <f>if(ISNA(vlookup($A288, RotoWire!$B$2:$E$681, 4, false)), 0, vlookup($A288, RotoWire!$B$2:$E$681, 4, false))</f>
        <v>0</v>
      </c>
      <c r="I288" s="47">
        <f t="shared" si="1"/>
        <v>0</v>
      </c>
      <c r="J288" s="47">
        <f t="shared" si="2"/>
        <v>0</v>
      </c>
    </row>
    <row r="289">
      <c r="A289" s="44" t="s">
        <v>345</v>
      </c>
      <c r="B289" s="45" t="s">
        <v>70</v>
      </c>
      <c r="C289" s="45" t="s">
        <v>199</v>
      </c>
      <c r="D289" s="45">
        <v>11.0</v>
      </c>
      <c r="E289" s="46">
        <f>if(ISNA(vlookup($A289, ESPN!$B$2:$E$281, 4, false)), 0, vlookup($A289, ESPN!$B$2:$E$281, 4, false))</f>
        <v>0</v>
      </c>
      <c r="F289" s="46">
        <f>if(ISNA(vlookup($A289, Scout.com!$B$2:$E$239, 4, false)), 0, vlookup($A289, Scout.com!$B$2:$E$239, 4, false))</f>
        <v>0</v>
      </c>
      <c r="G289" s="46">
        <f>if(ISNA(vlookup($A289, FantasyPro!$B$2:$E$318, 4, false)), 0, vlookup($A289, FantasyPro!$B$2:$E$318, 4, false))</f>
        <v>0</v>
      </c>
      <c r="H289" s="46">
        <f>if(ISNA(vlookup($A289, RotoWire!$B$2:$E$681, 4, false)), 0, vlookup($A289, RotoWire!$B$2:$E$681, 4, false))</f>
        <v>0</v>
      </c>
      <c r="I289" s="47">
        <f t="shared" si="1"/>
        <v>0</v>
      </c>
      <c r="J289" s="47">
        <f t="shared" si="2"/>
        <v>0</v>
      </c>
    </row>
    <row r="290">
      <c r="A290" s="44" t="s">
        <v>661</v>
      </c>
      <c r="B290" s="45" t="s">
        <v>72</v>
      </c>
      <c r="C290" s="45" t="s">
        <v>97</v>
      </c>
      <c r="D290" s="45">
        <v>11.0</v>
      </c>
      <c r="E290" s="46">
        <f>if(ISNA(vlookup($A290, ESPN!$B$2:$E$281, 4, false)), 0, vlookup($A290, ESPN!$B$2:$E$281, 4, false))</f>
        <v>0</v>
      </c>
      <c r="F290" s="46">
        <f>if(ISNA(vlookup($A290, Scout.com!$B$2:$E$239, 4, false)), 0, vlookup($A290, Scout.com!$B$2:$E$239, 4, false))</f>
        <v>0</v>
      </c>
      <c r="G290" s="46">
        <f>if(ISNA(vlookup($A290, FantasyPro!$B$2:$E$318, 4, false)), 0, vlookup($A290, FantasyPro!$B$2:$E$318, 4, false))</f>
        <v>0</v>
      </c>
      <c r="H290" s="46">
        <f>if(ISNA(vlookup($A290, RotoWire!$B$2:$E$681, 4, false)), 0, vlookup($A290, RotoWire!$B$2:$E$681, 4, false))</f>
        <v>0</v>
      </c>
      <c r="I290" s="47">
        <f t="shared" si="1"/>
        <v>0</v>
      </c>
      <c r="J290" s="47">
        <f t="shared" si="2"/>
        <v>0</v>
      </c>
    </row>
    <row r="291">
      <c r="A291" s="44" t="s">
        <v>514</v>
      </c>
      <c r="B291" s="45" t="s">
        <v>172</v>
      </c>
      <c r="C291" s="45" t="s">
        <v>43</v>
      </c>
      <c r="D291" s="49"/>
      <c r="E291" s="46">
        <f>if(ISNA(vlookup($A291, ESPN!$B$2:$E$281, 4, false)), 0, vlookup($A291, ESPN!$B$2:$E$281, 4, false))</f>
        <v>0</v>
      </c>
      <c r="F291" s="46">
        <f>if(ISNA(vlookup($A291, Scout.com!$B$2:$E$239, 4, false)), 0, vlookup($A291, Scout.com!$B$2:$E$239, 4, false))</f>
        <v>0</v>
      </c>
      <c r="G291" s="46">
        <f>if(ISNA(vlookup($A291, FantasyPro!$B$2:$E$318, 4, false)), 0, vlookup($A291, FantasyPro!$B$2:$E$318, 4, false))</f>
        <v>0</v>
      </c>
      <c r="H291" s="46">
        <f>if(ISNA(vlookup($A291, RotoWire!$B$2:$E$681, 4, false)), 0, vlookup($A291, RotoWire!$B$2:$E$681, 4, false))</f>
        <v>0</v>
      </c>
      <c r="I291" s="47">
        <f t="shared" si="1"/>
        <v>0</v>
      </c>
      <c r="J291" s="47">
        <f t="shared" si="2"/>
        <v>0</v>
      </c>
    </row>
    <row r="292">
      <c r="A292" s="44" t="s">
        <v>280</v>
      </c>
      <c r="B292" s="45" t="s">
        <v>65</v>
      </c>
      <c r="C292" s="45" t="s">
        <v>7</v>
      </c>
      <c r="D292" s="45">
        <v>7.0</v>
      </c>
      <c r="E292" s="46">
        <f>if(ISNA(vlookup($A292, ESPN!$B$2:$E$281, 4, false)), 0, vlookup($A292, ESPN!$B$2:$E$281, 4, false))</f>
        <v>0</v>
      </c>
      <c r="F292" s="46">
        <f>if(ISNA(vlookup($A292, Scout.com!$B$2:$E$239, 4, false)), 0, vlookup($A292, Scout.com!$B$2:$E$239, 4, false))</f>
        <v>0</v>
      </c>
      <c r="G292" s="46">
        <f>if(ISNA(vlookup($A292, FantasyPro!$B$2:$E$318, 4, false)), 0, vlookup($A292, FantasyPro!$B$2:$E$318, 4, false))</f>
        <v>0</v>
      </c>
      <c r="H292" s="46">
        <f>if(ISNA(vlookup($A292, RotoWire!$B$2:$E$681, 4, false)), 0, vlookup($A292, RotoWire!$B$2:$E$681, 4, false))</f>
        <v>0</v>
      </c>
      <c r="I292" s="47">
        <f t="shared" si="1"/>
        <v>0</v>
      </c>
      <c r="J292" s="47">
        <f t="shared" si="2"/>
        <v>0</v>
      </c>
    </row>
    <row r="293">
      <c r="A293" s="44" t="s">
        <v>574</v>
      </c>
      <c r="B293" s="45" t="s">
        <v>172</v>
      </c>
      <c r="C293" s="45" t="s">
        <v>7</v>
      </c>
      <c r="D293" s="49"/>
      <c r="E293" s="46">
        <f>if(ISNA(vlookup($A293, ESPN!$B$2:$E$281, 4, false)), 0, vlookup($A293, ESPN!$B$2:$E$281, 4, false))</f>
        <v>0</v>
      </c>
      <c r="F293" s="46">
        <f>if(ISNA(vlookup($A293, Scout.com!$B$2:$E$239, 4, false)), 0, vlookup($A293, Scout.com!$B$2:$E$239, 4, false))</f>
        <v>0</v>
      </c>
      <c r="G293" s="46">
        <f>if(ISNA(vlookup($A293, FantasyPro!$B$2:$E$318, 4, false)), 0, vlookup($A293, FantasyPro!$B$2:$E$318, 4, false))</f>
        <v>0</v>
      </c>
      <c r="H293" s="46">
        <f>if(ISNA(vlookup($A293, RotoWire!$B$2:$E$681, 4, false)), 0, vlookup($A293, RotoWire!$B$2:$E$681, 4, false))</f>
        <v>0</v>
      </c>
      <c r="I293" s="47">
        <f t="shared" si="1"/>
        <v>0</v>
      </c>
      <c r="J293" s="47">
        <f t="shared" si="2"/>
        <v>0</v>
      </c>
    </row>
    <row r="294">
      <c r="A294" s="44" t="s">
        <v>404</v>
      </c>
      <c r="B294" s="45" t="s">
        <v>95</v>
      </c>
      <c r="C294" s="45" t="s">
        <v>219</v>
      </c>
      <c r="D294" s="45">
        <v>11.0</v>
      </c>
      <c r="E294" s="46">
        <f>if(ISNA(vlookup($A294, ESPN!$B$2:$E$281, 4, false)), 0, vlookup($A294, ESPN!$B$2:$E$281, 4, false))</f>
        <v>0</v>
      </c>
      <c r="F294" s="46">
        <f>if(ISNA(vlookup($A294, Scout.com!$B$2:$E$239, 4, false)), 0, vlookup($A294, Scout.com!$B$2:$E$239, 4, false))</f>
        <v>0</v>
      </c>
      <c r="G294" s="46">
        <f>if(ISNA(vlookup($A294, FantasyPro!$B$2:$E$318, 4, false)), 0, vlookup($A294, FantasyPro!$B$2:$E$318, 4, false))</f>
        <v>0</v>
      </c>
      <c r="H294" s="46">
        <f>if(ISNA(vlookup($A294, RotoWire!$B$2:$E$681, 4, false)), 0, vlookup($A294, RotoWire!$B$2:$E$681, 4, false))</f>
        <v>0</v>
      </c>
      <c r="I294" s="47">
        <f t="shared" si="1"/>
        <v>0</v>
      </c>
      <c r="J294" s="47">
        <f t="shared" si="2"/>
        <v>0</v>
      </c>
    </row>
    <row r="295">
      <c r="A295" s="44" t="s">
        <v>386</v>
      </c>
      <c r="B295" s="45" t="s">
        <v>34</v>
      </c>
      <c r="C295" s="45" t="s">
        <v>219</v>
      </c>
      <c r="D295" s="45">
        <v>8.0</v>
      </c>
      <c r="E295" s="46">
        <f>if(ISNA(vlookup($A295, ESPN!$B$2:$E$281, 4, false)), 0, vlookup($A295, ESPN!$B$2:$E$281, 4, false))</f>
        <v>0</v>
      </c>
      <c r="F295" s="46">
        <f>if(ISNA(vlookup($A295, Scout.com!$B$2:$E$239, 4, false)), 0, vlookup($A295, Scout.com!$B$2:$E$239, 4, false))</f>
        <v>0</v>
      </c>
      <c r="G295" s="46">
        <f>if(ISNA(vlookup($A295, FantasyPro!$B$2:$E$318, 4, false)), 0, vlookup($A295, FantasyPro!$B$2:$E$318, 4, false))</f>
        <v>0</v>
      </c>
      <c r="H295" s="46">
        <f>if(ISNA(vlookup($A295, RotoWire!$B$2:$E$681, 4, false)), 0, vlookup($A295, RotoWire!$B$2:$E$681, 4, false))</f>
        <v>0</v>
      </c>
      <c r="I295" s="47">
        <f t="shared" si="1"/>
        <v>0</v>
      </c>
      <c r="J295" s="47">
        <f t="shared" si="2"/>
        <v>0</v>
      </c>
    </row>
    <row r="296">
      <c r="A296" s="44" t="s">
        <v>371</v>
      </c>
      <c r="B296" s="45" t="s">
        <v>41</v>
      </c>
      <c r="C296" s="45" t="s">
        <v>7</v>
      </c>
      <c r="D296" s="45">
        <v>4.0</v>
      </c>
      <c r="E296" s="46">
        <f>if(ISNA(vlookup($A296, ESPN!$B$2:$E$281, 4, false)), 0, vlookup($A296, ESPN!$B$2:$E$281, 4, false))</f>
        <v>0</v>
      </c>
      <c r="F296" s="46">
        <f>if(ISNA(vlookup($A296, Scout.com!$B$2:$E$239, 4, false)), 0, vlookup($A296, Scout.com!$B$2:$E$239, 4, false))</f>
        <v>0</v>
      </c>
      <c r="G296" s="46">
        <f>if(ISNA(vlookup($A296, FantasyPro!$B$2:$E$318, 4, false)), 0, vlookup($A296, FantasyPro!$B$2:$E$318, 4, false))</f>
        <v>0</v>
      </c>
      <c r="H296" s="46">
        <f>if(ISNA(vlookup($A296, RotoWire!$B$2:$E$681, 4, false)), 0, vlookup($A296, RotoWire!$B$2:$E$681, 4, false))</f>
        <v>0</v>
      </c>
      <c r="I296" s="47">
        <f t="shared" si="1"/>
        <v>0</v>
      </c>
      <c r="J296" s="47">
        <f t="shared" si="2"/>
        <v>0</v>
      </c>
    </row>
    <row r="297">
      <c r="A297" s="44" t="s">
        <v>659</v>
      </c>
      <c r="B297" s="45" t="s">
        <v>34</v>
      </c>
      <c r="C297" s="45" t="s">
        <v>97</v>
      </c>
      <c r="D297" s="45">
        <v>8.0</v>
      </c>
      <c r="E297" s="46">
        <f>if(ISNA(vlookup($A297, ESPN!$B$2:$E$281, 4, false)), 0, vlookup($A297, ESPN!$B$2:$E$281, 4, false))</f>
        <v>0</v>
      </c>
      <c r="F297" s="46">
        <f>if(ISNA(vlookup($A297, Scout.com!$B$2:$E$239, 4, false)), 0, vlookup($A297, Scout.com!$B$2:$E$239, 4, false))</f>
        <v>0</v>
      </c>
      <c r="G297" s="46">
        <f>if(ISNA(vlookup($A297, FantasyPro!$B$2:$E$318, 4, false)), 0, vlookup($A297, FantasyPro!$B$2:$E$318, 4, false))</f>
        <v>0</v>
      </c>
      <c r="H297" s="46">
        <f>if(ISNA(vlookup($A297, RotoWire!$B$2:$E$681, 4, false)), 0, vlookup($A297, RotoWire!$B$2:$E$681, 4, false))</f>
        <v>0</v>
      </c>
      <c r="I297" s="47">
        <f t="shared" si="1"/>
        <v>0</v>
      </c>
      <c r="J297" s="47">
        <f t="shared" si="2"/>
        <v>0</v>
      </c>
    </row>
    <row r="298">
      <c r="A298" s="44" t="s">
        <v>437</v>
      </c>
      <c r="B298" s="45" t="s">
        <v>63</v>
      </c>
      <c r="C298" s="45" t="s">
        <v>17</v>
      </c>
      <c r="D298" s="45">
        <v>10.0</v>
      </c>
      <c r="E298" s="46">
        <f>if(ISNA(vlookup($A298, ESPN!$B$2:$E$281, 4, false)), 0, vlookup($A298, ESPN!$B$2:$E$281, 4, false))</f>
        <v>0</v>
      </c>
      <c r="F298" s="46">
        <f>if(ISNA(vlookup($A298, Scout.com!$B$2:$E$239, 4, false)), 0, vlookup($A298, Scout.com!$B$2:$E$239, 4, false))</f>
        <v>0</v>
      </c>
      <c r="G298" s="46">
        <f>if(ISNA(vlookup($A298, FantasyPro!$B$2:$E$318, 4, false)), 0, vlookup($A298, FantasyPro!$B$2:$E$318, 4, false))</f>
        <v>0</v>
      </c>
      <c r="H298" s="46">
        <f>if(ISNA(vlookup($A298, RotoWire!$B$2:$E$681, 4, false)), 0, vlookup($A298, RotoWire!$B$2:$E$681, 4, false))</f>
        <v>0</v>
      </c>
      <c r="I298" s="47">
        <f t="shared" si="1"/>
        <v>0</v>
      </c>
      <c r="J298" s="47">
        <f t="shared" si="2"/>
        <v>0</v>
      </c>
    </row>
    <row r="299">
      <c r="A299" s="44" t="s">
        <v>590</v>
      </c>
      <c r="B299" s="45" t="s">
        <v>13</v>
      </c>
      <c r="C299" s="45" t="s">
        <v>17</v>
      </c>
      <c r="D299" s="45">
        <v>8.0</v>
      </c>
      <c r="E299" s="46">
        <f>if(ISNA(vlookup($A299, ESPN!$B$2:$E$281, 4, false)), 0, vlookup($A299, ESPN!$B$2:$E$281, 4, false))</f>
        <v>0</v>
      </c>
      <c r="F299" s="46">
        <f>if(ISNA(vlookup($A299, Scout.com!$B$2:$E$239, 4, false)), 0, vlookup($A299, Scout.com!$B$2:$E$239, 4, false))</f>
        <v>0</v>
      </c>
      <c r="G299" s="46">
        <f>if(ISNA(vlookup($A299, FantasyPro!$B$2:$E$318, 4, false)), 0, vlookup($A299, FantasyPro!$B$2:$E$318, 4, false))</f>
        <v>0</v>
      </c>
      <c r="H299" s="46">
        <f>if(ISNA(vlookup($A299, RotoWire!$B$2:$E$681, 4, false)), 0, vlookup($A299, RotoWire!$B$2:$E$681, 4, false))</f>
        <v>0</v>
      </c>
      <c r="I299" s="47">
        <f t="shared" si="1"/>
        <v>0</v>
      </c>
      <c r="J299" s="47">
        <f t="shared" si="2"/>
        <v>0</v>
      </c>
    </row>
    <row r="300">
      <c r="A300" s="44" t="s">
        <v>589</v>
      </c>
      <c r="B300" s="45" t="s">
        <v>95</v>
      </c>
      <c r="C300" s="45" t="s">
        <v>17</v>
      </c>
      <c r="D300" s="45">
        <v>11.0</v>
      </c>
      <c r="E300" s="46">
        <f>if(ISNA(vlookup($A300, ESPN!$B$2:$E$281, 4, false)), 0, vlookup($A300, ESPN!$B$2:$E$281, 4, false))</f>
        <v>0</v>
      </c>
      <c r="F300" s="46">
        <f>if(ISNA(vlookup($A300, Scout.com!$B$2:$E$239, 4, false)), 0, vlookup($A300, Scout.com!$B$2:$E$239, 4, false))</f>
        <v>0</v>
      </c>
      <c r="G300" s="46">
        <f>if(ISNA(vlookup($A300, FantasyPro!$B$2:$E$318, 4, false)), 0, vlookup($A300, FantasyPro!$B$2:$E$318, 4, false))</f>
        <v>0</v>
      </c>
      <c r="H300" s="46">
        <f>if(ISNA(vlookup($A300, RotoWire!$B$2:$E$681, 4, false)), 0, vlookup($A300, RotoWire!$B$2:$E$681, 4, false))</f>
        <v>0</v>
      </c>
      <c r="I300" s="47">
        <f t="shared" si="1"/>
        <v>0</v>
      </c>
      <c r="J300" s="47">
        <f t="shared" si="2"/>
        <v>0</v>
      </c>
    </row>
    <row r="301">
      <c r="A301" s="44" t="s">
        <v>644</v>
      </c>
      <c r="B301" s="45" t="s">
        <v>28</v>
      </c>
      <c r="C301" s="45" t="s">
        <v>97</v>
      </c>
      <c r="D301" s="45">
        <v>12.0</v>
      </c>
      <c r="E301" s="46">
        <f>if(ISNA(vlookup($A301, ESPN!$B$2:$E$281, 4, false)), 0, vlookup($A301, ESPN!$B$2:$E$281, 4, false))</f>
        <v>0</v>
      </c>
      <c r="F301" s="46">
        <f>if(ISNA(vlookup($A301, Scout.com!$B$2:$E$239, 4, false)), 0, vlookup($A301, Scout.com!$B$2:$E$239, 4, false))</f>
        <v>0</v>
      </c>
      <c r="G301" s="46">
        <f>if(ISNA(vlookup($A301, FantasyPro!$B$2:$E$318, 4, false)), 0, vlookup($A301, FantasyPro!$B$2:$E$318, 4, false))</f>
        <v>0</v>
      </c>
      <c r="H301" s="46">
        <f>if(ISNA(vlookup($A301, RotoWire!$B$2:$E$681, 4, false)), 0, vlookup($A301, RotoWire!$B$2:$E$681, 4, false))</f>
        <v>0</v>
      </c>
      <c r="I301" s="47">
        <f t="shared" si="1"/>
        <v>0</v>
      </c>
      <c r="J301" s="47">
        <f t="shared" si="2"/>
        <v>0</v>
      </c>
    </row>
    <row r="302">
      <c r="A302" s="44" t="s">
        <v>642</v>
      </c>
      <c r="B302" s="45" t="s">
        <v>63</v>
      </c>
      <c r="C302" s="45" t="s">
        <v>97</v>
      </c>
      <c r="D302" s="45">
        <v>10.0</v>
      </c>
      <c r="E302" s="46">
        <f>if(ISNA(vlookup($A302, ESPN!$B$2:$E$281, 4, false)), 0, vlookup($A302, ESPN!$B$2:$E$281, 4, false))</f>
        <v>0</v>
      </c>
      <c r="F302" s="46">
        <f>if(ISNA(vlookup($A302, Scout.com!$B$2:$E$239, 4, false)), 0, vlookup($A302, Scout.com!$B$2:$E$239, 4, false))</f>
        <v>0</v>
      </c>
      <c r="G302" s="46">
        <f>if(ISNA(vlookup($A302, FantasyPro!$B$2:$E$318, 4, false)), 0, vlookup($A302, FantasyPro!$B$2:$E$318, 4, false))</f>
        <v>0</v>
      </c>
      <c r="H302" s="46">
        <f>if(ISNA(vlookup($A302, RotoWire!$B$2:$E$681, 4, false)), 0, vlookup($A302, RotoWire!$B$2:$E$681, 4, false))</f>
        <v>0</v>
      </c>
      <c r="I302" s="47">
        <f t="shared" si="1"/>
        <v>0</v>
      </c>
      <c r="J302" s="47">
        <f t="shared" si="2"/>
        <v>0</v>
      </c>
    </row>
    <row r="303">
      <c r="A303" s="44" t="s">
        <v>398</v>
      </c>
      <c r="B303" s="45" t="s">
        <v>49</v>
      </c>
      <c r="C303" s="45" t="s">
        <v>219</v>
      </c>
      <c r="D303" s="45">
        <v>5.0</v>
      </c>
      <c r="E303" s="46">
        <f>if(ISNA(vlookup($A303, ESPN!$B$2:$E$281, 4, false)), 0, vlookup($A303, ESPN!$B$2:$E$281, 4, false))</f>
        <v>0</v>
      </c>
      <c r="F303" s="46">
        <f>if(ISNA(vlookup($A303, Scout.com!$B$2:$E$239, 4, false)), 0, vlookup($A303, Scout.com!$B$2:$E$239, 4, false))</f>
        <v>0</v>
      </c>
      <c r="G303" s="46">
        <f>if(ISNA(vlookup($A303, FantasyPro!$B$2:$E$318, 4, false)), 0, vlookup($A303, FantasyPro!$B$2:$E$318, 4, false))</f>
        <v>0</v>
      </c>
      <c r="H303" s="46">
        <f>if(ISNA(vlookup($A303, RotoWire!$B$2:$E$681, 4, false)), 0, vlookup($A303, RotoWire!$B$2:$E$681, 4, false))</f>
        <v>0</v>
      </c>
      <c r="I303" s="47">
        <f t="shared" si="1"/>
        <v>0</v>
      </c>
      <c r="J303" s="47">
        <f t="shared" si="2"/>
        <v>0</v>
      </c>
    </row>
    <row r="304">
      <c r="A304" s="44" t="s">
        <v>494</v>
      </c>
      <c r="B304" s="45" t="s">
        <v>28</v>
      </c>
      <c r="C304" s="45" t="s">
        <v>7</v>
      </c>
      <c r="D304" s="45">
        <v>12.0</v>
      </c>
      <c r="E304" s="46">
        <f>if(ISNA(vlookup($A304, ESPN!$B$2:$E$281, 4, false)), 0, vlookup($A304, ESPN!$B$2:$E$281, 4, false))</f>
        <v>0</v>
      </c>
      <c r="F304" s="46">
        <f>if(ISNA(vlookup($A304, Scout.com!$B$2:$E$239, 4, false)), 0, vlookup($A304, Scout.com!$B$2:$E$239, 4, false))</f>
        <v>0</v>
      </c>
      <c r="G304" s="46">
        <f>if(ISNA(vlookup($A304, FantasyPro!$B$2:$E$318, 4, false)), 0, vlookup($A304, FantasyPro!$B$2:$E$318, 4, false))</f>
        <v>0</v>
      </c>
      <c r="H304" s="46">
        <f>if(ISNA(vlookup($A304, RotoWire!$B$2:$E$681, 4, false)), 0, vlookup($A304, RotoWire!$B$2:$E$681, 4, false))</f>
        <v>0</v>
      </c>
      <c r="I304" s="47">
        <f t="shared" si="1"/>
        <v>0</v>
      </c>
      <c r="J304" s="47">
        <f t="shared" si="2"/>
        <v>0</v>
      </c>
    </row>
    <row r="305">
      <c r="A305" s="44" t="s">
        <v>285</v>
      </c>
      <c r="B305" s="45" t="s">
        <v>49</v>
      </c>
      <c r="C305" s="45" t="s">
        <v>7</v>
      </c>
      <c r="D305" s="45">
        <v>5.0</v>
      </c>
      <c r="E305" s="46">
        <f>if(ISNA(vlookup($A305, ESPN!$B$2:$E$281, 4, false)), 0, vlookup($A305, ESPN!$B$2:$E$281, 4, false))</f>
        <v>0</v>
      </c>
      <c r="F305" s="46">
        <f>if(ISNA(vlookup($A305, Scout.com!$B$2:$E$239, 4, false)), 0, vlookup($A305, Scout.com!$B$2:$E$239, 4, false))</f>
        <v>0</v>
      </c>
      <c r="G305" s="46">
        <f>if(ISNA(vlookup($A305, FantasyPro!$B$2:$E$318, 4, false)), 0, vlookup($A305, FantasyPro!$B$2:$E$318, 4, false))</f>
        <v>0</v>
      </c>
      <c r="H305" s="46">
        <f>if(ISNA(vlookup($A305, RotoWire!$B$2:$E$681, 4, false)), 0, vlookup($A305, RotoWire!$B$2:$E$681, 4, false))</f>
        <v>0</v>
      </c>
      <c r="I305" s="47">
        <f t="shared" si="1"/>
        <v>0</v>
      </c>
      <c r="J305" s="47">
        <f t="shared" si="2"/>
        <v>0</v>
      </c>
    </row>
    <row r="306">
      <c r="A306" s="44" t="s">
        <v>616</v>
      </c>
      <c r="B306" s="45" t="s">
        <v>95</v>
      </c>
      <c r="C306" s="45" t="s">
        <v>17</v>
      </c>
      <c r="D306" s="45">
        <v>11.0</v>
      </c>
      <c r="E306" s="46">
        <f>if(ISNA(vlookup($A306, ESPN!$B$2:$E$281, 4, false)), 0, vlookup($A306, ESPN!$B$2:$E$281, 4, false))</f>
        <v>0</v>
      </c>
      <c r="F306" s="46">
        <f>if(ISNA(vlookup($A306, Scout.com!$B$2:$E$239, 4, false)), 0, vlookup($A306, Scout.com!$B$2:$E$239, 4, false))</f>
        <v>0</v>
      </c>
      <c r="G306" s="46">
        <f>if(ISNA(vlookup($A306, FantasyPro!$B$2:$E$318, 4, false)), 0, vlookup($A306, FantasyPro!$B$2:$E$318, 4, false))</f>
        <v>0</v>
      </c>
      <c r="H306" s="46">
        <f>if(ISNA(vlookup($A306, RotoWire!$B$2:$E$681, 4, false)), 0, vlookup($A306, RotoWire!$B$2:$E$681, 4, false))</f>
        <v>0</v>
      </c>
      <c r="I306" s="47">
        <f t="shared" si="1"/>
        <v>0</v>
      </c>
      <c r="J306" s="47">
        <f t="shared" si="2"/>
        <v>0</v>
      </c>
    </row>
    <row r="307">
      <c r="A307" s="44" t="s">
        <v>654</v>
      </c>
      <c r="B307" s="45" t="s">
        <v>51</v>
      </c>
      <c r="C307" s="45" t="s">
        <v>97</v>
      </c>
      <c r="D307" s="45">
        <v>5.0</v>
      </c>
      <c r="E307" s="46">
        <f>if(ISNA(vlookup($A307, ESPN!$B$2:$E$281, 4, false)), 0, vlookup($A307, ESPN!$B$2:$E$281, 4, false))</f>
        <v>0</v>
      </c>
      <c r="F307" s="46">
        <f>if(ISNA(vlookup($A307, Scout.com!$B$2:$E$239, 4, false)), 0, vlookup($A307, Scout.com!$B$2:$E$239, 4, false))</f>
        <v>0</v>
      </c>
      <c r="G307" s="46">
        <f>if(ISNA(vlookup($A307, FantasyPro!$B$2:$E$318, 4, false)), 0, vlookup($A307, FantasyPro!$B$2:$E$318, 4, false))</f>
        <v>0</v>
      </c>
      <c r="H307" s="46">
        <f>if(ISNA(vlookup($A307, RotoWire!$B$2:$E$681, 4, false)), 0, vlookup($A307, RotoWire!$B$2:$E$681, 4, false))</f>
        <v>0</v>
      </c>
      <c r="I307" s="47">
        <f t="shared" si="1"/>
        <v>0</v>
      </c>
      <c r="J307" s="47">
        <f t="shared" si="2"/>
        <v>0</v>
      </c>
    </row>
    <row r="308">
      <c r="A308" s="44" t="s">
        <v>247</v>
      </c>
      <c r="B308" s="45" t="s">
        <v>11</v>
      </c>
      <c r="C308" s="45" t="s">
        <v>7</v>
      </c>
      <c r="D308" s="45">
        <v>9.0</v>
      </c>
      <c r="E308" s="46">
        <f>if(ISNA(vlookup($A308, ESPN!$B$2:$E$281, 4, false)), 0, vlookup($A308, ESPN!$B$2:$E$281, 4, false))</f>
        <v>0</v>
      </c>
      <c r="F308" s="46">
        <f>if(ISNA(vlookup($A308, Scout.com!$B$2:$E$239, 4, false)), 0, vlookup($A308, Scout.com!$B$2:$E$239, 4, false))</f>
        <v>0</v>
      </c>
      <c r="G308" s="46">
        <f>if(ISNA(vlookup($A308, FantasyPro!$B$2:$E$318, 4, false)), 0, vlookup($A308, FantasyPro!$B$2:$E$318, 4, false))</f>
        <v>0</v>
      </c>
      <c r="H308" s="46">
        <f>if(ISNA(vlookup($A308, RotoWire!$B$2:$E$681, 4, false)), 0, vlookup($A308, RotoWire!$B$2:$E$681, 4, false))</f>
        <v>0</v>
      </c>
      <c r="I308" s="47">
        <f t="shared" si="1"/>
        <v>0</v>
      </c>
      <c r="J308" s="47">
        <f t="shared" si="2"/>
        <v>0</v>
      </c>
    </row>
    <row r="309">
      <c r="A309" s="50">
        <v>12.0</v>
      </c>
      <c r="B309" s="45" t="s">
        <v>28</v>
      </c>
      <c r="C309" s="45" t="s">
        <v>97</v>
      </c>
      <c r="D309" s="45">
        <v>12.0</v>
      </c>
      <c r="E309" s="46">
        <f>if(ISNA(vlookup($A309, ESPN!$B$2:$E$281, 4, false)), 0, vlookup($A309, ESPN!$B$2:$E$281, 4, false))</f>
        <v>0</v>
      </c>
      <c r="F309" s="46">
        <f>if(ISNA(vlookup($A309, Scout.com!$B$2:$E$239, 4, false)), 0, vlookup($A309, Scout.com!$B$2:$E$239, 4, false))</f>
        <v>0</v>
      </c>
      <c r="G309" s="46">
        <f>if(ISNA(vlookup($A309, FantasyPro!$B$2:$E$318, 4, false)), 0, vlookup($A309, FantasyPro!$B$2:$E$318, 4, false))</f>
        <v>0</v>
      </c>
      <c r="H309" s="46">
        <f>if(ISNA(vlookup($A309, RotoWire!$B$2:$E$681, 4, false)), 0, vlookup($A309, RotoWire!$B$2:$E$681, 4, false))</f>
        <v>0</v>
      </c>
      <c r="I309" s="47">
        <f t="shared" si="1"/>
        <v>0</v>
      </c>
      <c r="J309" s="47">
        <f t="shared" si="2"/>
        <v>0</v>
      </c>
    </row>
    <row r="310">
      <c r="A310" s="44" t="s">
        <v>381</v>
      </c>
      <c r="B310" s="45" t="s">
        <v>53</v>
      </c>
      <c r="C310" s="45" t="s">
        <v>17</v>
      </c>
      <c r="D310" s="45">
        <v>9.0</v>
      </c>
      <c r="E310" s="46">
        <f>if(ISNA(vlookup($A310, ESPN!$B$2:$E$281, 4, false)), 0, vlookup($A310, ESPN!$B$2:$E$281, 4, false))</f>
        <v>0</v>
      </c>
      <c r="F310" s="46">
        <f>if(ISNA(vlookup($A310, Scout.com!$B$2:$E$239, 4, false)), 0, vlookup($A310, Scout.com!$B$2:$E$239, 4, false))</f>
        <v>0</v>
      </c>
      <c r="G310" s="46">
        <f>if(ISNA(vlookup($A310, FantasyPro!$B$2:$E$318, 4, false)), 0, vlookup($A310, FantasyPro!$B$2:$E$318, 4, false))</f>
        <v>0</v>
      </c>
      <c r="H310" s="46">
        <f>if(ISNA(vlookup($A310, RotoWire!$B$2:$E$681, 4, false)), 0, vlookup($A310, RotoWire!$B$2:$E$681, 4, false))</f>
        <v>0</v>
      </c>
      <c r="I310" s="47">
        <f t="shared" si="1"/>
        <v>0</v>
      </c>
      <c r="J310" s="47">
        <f t="shared" si="2"/>
        <v>0</v>
      </c>
    </row>
    <row r="311">
      <c r="A311" s="44" t="s">
        <v>343</v>
      </c>
      <c r="B311" s="45" t="s">
        <v>51</v>
      </c>
      <c r="C311" s="45" t="s">
        <v>199</v>
      </c>
      <c r="D311" s="45">
        <v>5.0</v>
      </c>
      <c r="E311" s="46">
        <f>if(ISNA(vlookup($A311, ESPN!$B$2:$E$281, 4, false)), 0, vlookup($A311, ESPN!$B$2:$E$281, 4, false))</f>
        <v>0</v>
      </c>
      <c r="F311" s="46">
        <f>if(ISNA(vlookup($A311, Scout.com!$B$2:$E$239, 4, false)), 0, vlookup($A311, Scout.com!$B$2:$E$239, 4, false))</f>
        <v>0</v>
      </c>
      <c r="G311" s="46">
        <f>if(ISNA(vlookup($A311, FantasyPro!$B$2:$E$318, 4, false)), 0, vlookup($A311, FantasyPro!$B$2:$E$318, 4, false))</f>
        <v>0</v>
      </c>
      <c r="H311" s="46">
        <f>if(ISNA(vlookup($A311, RotoWire!$B$2:$E$681, 4, false)), 0, vlookup($A311, RotoWire!$B$2:$E$681, 4, false))</f>
        <v>0</v>
      </c>
      <c r="I311" s="47">
        <f t="shared" si="1"/>
        <v>0</v>
      </c>
      <c r="J311" s="47">
        <f t="shared" si="2"/>
        <v>0</v>
      </c>
    </row>
    <row r="312">
      <c r="A312" s="44" t="s">
        <v>469</v>
      </c>
      <c r="B312" s="45" t="s">
        <v>28</v>
      </c>
      <c r="C312" s="45" t="s">
        <v>17</v>
      </c>
      <c r="D312" s="45">
        <v>12.0</v>
      </c>
      <c r="E312" s="46">
        <f>if(ISNA(vlookup($A312, ESPN!$B$2:$E$281, 4, false)), 0, vlookup($A312, ESPN!$B$2:$E$281, 4, false))</f>
        <v>0</v>
      </c>
      <c r="F312" s="46">
        <f>if(ISNA(vlookup($A312, Scout.com!$B$2:$E$239, 4, false)), 0, vlookup($A312, Scout.com!$B$2:$E$239, 4, false))</f>
        <v>0</v>
      </c>
      <c r="G312" s="46">
        <f>if(ISNA(vlookup($A312, FantasyPro!$B$2:$E$318, 4, false)), 0, vlookup($A312, FantasyPro!$B$2:$E$318, 4, false))</f>
        <v>0</v>
      </c>
      <c r="H312" s="46">
        <f>if(ISNA(vlookup($A312, RotoWire!$B$2:$E$681, 4, false)), 0, vlookup($A312, RotoWire!$B$2:$E$681, 4, false))</f>
        <v>0</v>
      </c>
      <c r="I312" s="47">
        <f t="shared" si="1"/>
        <v>0</v>
      </c>
      <c r="J312" s="47">
        <f t="shared" si="2"/>
        <v>0</v>
      </c>
    </row>
    <row r="313">
      <c r="A313" s="44" t="s">
        <v>573</v>
      </c>
      <c r="B313" s="45" t="s">
        <v>95</v>
      </c>
      <c r="C313" s="45" t="s">
        <v>43</v>
      </c>
      <c r="D313" s="45">
        <v>11.0</v>
      </c>
      <c r="E313" s="46">
        <f>if(ISNA(vlookup($A313, ESPN!$B$2:$E$281, 4, false)), 0, vlookup($A313, ESPN!$B$2:$E$281, 4, false))</f>
        <v>0</v>
      </c>
      <c r="F313" s="46">
        <f>if(ISNA(vlookup($A313, Scout.com!$B$2:$E$239, 4, false)), 0, vlookup($A313, Scout.com!$B$2:$E$239, 4, false))</f>
        <v>0</v>
      </c>
      <c r="G313" s="46">
        <f>if(ISNA(vlookup($A313, FantasyPro!$B$2:$E$318, 4, false)), 0, vlookup($A313, FantasyPro!$B$2:$E$318, 4, false))</f>
        <v>0</v>
      </c>
      <c r="H313" s="46">
        <f>if(ISNA(vlookup($A313, RotoWire!$B$2:$E$681, 4, false)), 0, vlookup($A313, RotoWire!$B$2:$E$681, 4, false))</f>
        <v>0</v>
      </c>
      <c r="I313" s="47">
        <f t="shared" si="1"/>
        <v>0</v>
      </c>
      <c r="J313" s="47">
        <f t="shared" si="2"/>
        <v>0</v>
      </c>
    </row>
    <row r="314">
      <c r="A314" s="44" t="s">
        <v>546</v>
      </c>
      <c r="B314" s="45" t="s">
        <v>88</v>
      </c>
      <c r="C314" s="45" t="s">
        <v>17</v>
      </c>
      <c r="D314" s="45">
        <v>10.0</v>
      </c>
      <c r="E314" s="46">
        <f>if(ISNA(vlookup($A314, ESPN!$B$2:$E$281, 4, false)), 0, vlookup($A314, ESPN!$B$2:$E$281, 4, false))</f>
        <v>0</v>
      </c>
      <c r="F314" s="46">
        <f>if(ISNA(vlookup($A314, Scout.com!$B$2:$E$239, 4, false)), 0, vlookup($A314, Scout.com!$B$2:$E$239, 4, false))</f>
        <v>0</v>
      </c>
      <c r="G314" s="46">
        <f>if(ISNA(vlookup($A314, FantasyPro!$B$2:$E$318, 4, false)), 0, vlookup($A314, FantasyPro!$B$2:$E$318, 4, false))</f>
        <v>0</v>
      </c>
      <c r="H314" s="46">
        <f>if(ISNA(vlookup($A314, RotoWire!$B$2:$E$681, 4, false)), 0, vlookup($A314, RotoWire!$B$2:$E$681, 4, false))</f>
        <v>0</v>
      </c>
      <c r="I314" s="47">
        <f t="shared" si="1"/>
        <v>0</v>
      </c>
      <c r="J314" s="47">
        <f t="shared" si="2"/>
        <v>0</v>
      </c>
    </row>
    <row r="315">
      <c r="A315" s="44" t="s">
        <v>348</v>
      </c>
      <c r="B315" s="45" t="s">
        <v>39</v>
      </c>
      <c r="C315" s="45" t="s">
        <v>199</v>
      </c>
      <c r="D315" s="45">
        <v>9.0</v>
      </c>
      <c r="E315" s="46">
        <f>if(ISNA(vlookup($A315, ESPN!$B$2:$E$281, 4, false)), 0, vlookup($A315, ESPN!$B$2:$E$281, 4, false))</f>
        <v>0</v>
      </c>
      <c r="F315" s="46">
        <f>if(ISNA(vlookup($A315, Scout.com!$B$2:$E$239, 4, false)), 0, vlookup($A315, Scout.com!$B$2:$E$239, 4, false))</f>
        <v>0</v>
      </c>
      <c r="G315" s="46">
        <f>if(ISNA(vlookup($A315, FantasyPro!$B$2:$E$318, 4, false)), 0, vlookup($A315, FantasyPro!$B$2:$E$318, 4, false))</f>
        <v>0</v>
      </c>
      <c r="H315" s="46">
        <f>if(ISNA(vlookup($A315, RotoWire!$B$2:$E$681, 4, false)), 0, vlookup($A315, RotoWire!$B$2:$E$681, 4, false))</f>
        <v>0</v>
      </c>
      <c r="I315" s="47">
        <f t="shared" si="1"/>
        <v>0</v>
      </c>
      <c r="J315" s="47">
        <f t="shared" si="2"/>
        <v>0</v>
      </c>
    </row>
    <row r="316">
      <c r="A316" s="44" t="s">
        <v>353</v>
      </c>
      <c r="B316" s="45" t="s">
        <v>67</v>
      </c>
      <c r="C316" s="45" t="s">
        <v>199</v>
      </c>
      <c r="D316" s="45">
        <v>11.0</v>
      </c>
      <c r="E316" s="46">
        <f>if(ISNA(vlookup($A316, ESPN!$B$2:$E$281, 4, false)), 0, vlookup($A316, ESPN!$B$2:$E$281, 4, false))</f>
        <v>0</v>
      </c>
      <c r="F316" s="46">
        <f>if(ISNA(vlookup($A316, Scout.com!$B$2:$E$239, 4, false)), 0, vlookup($A316, Scout.com!$B$2:$E$239, 4, false))</f>
        <v>0</v>
      </c>
      <c r="G316" s="46">
        <f>if(ISNA(vlookup($A316, FantasyPro!$B$2:$E$318, 4, false)), 0, vlookup($A316, FantasyPro!$B$2:$E$318, 4, false))</f>
        <v>0</v>
      </c>
      <c r="H316" s="46">
        <f>if(ISNA(vlookup($A316, RotoWire!$B$2:$E$681, 4, false)), 0, vlookup($A316, RotoWire!$B$2:$E$681, 4, false))</f>
        <v>0</v>
      </c>
      <c r="I316" s="47">
        <f t="shared" si="1"/>
        <v>0</v>
      </c>
      <c r="J316" s="47">
        <f t="shared" si="2"/>
        <v>0</v>
      </c>
    </row>
    <row r="317">
      <c r="A317" s="44" t="s">
        <v>466</v>
      </c>
      <c r="B317" s="45" t="s">
        <v>95</v>
      </c>
      <c r="C317" s="45" t="s">
        <v>43</v>
      </c>
      <c r="D317" s="45">
        <v>11.0</v>
      </c>
      <c r="E317" s="46">
        <f>if(ISNA(vlookup($A317, ESPN!$B$2:$E$281, 4, false)), 0, vlookup($A317, ESPN!$B$2:$E$281, 4, false))</f>
        <v>0</v>
      </c>
      <c r="F317" s="46">
        <f>if(ISNA(vlookup($A317, Scout.com!$B$2:$E$239, 4, false)), 0, vlookup($A317, Scout.com!$B$2:$E$239, 4, false))</f>
        <v>0</v>
      </c>
      <c r="G317" s="46">
        <f>if(ISNA(vlookup($A317, FantasyPro!$B$2:$E$318, 4, false)), 0, vlookup($A317, FantasyPro!$B$2:$E$318, 4, false))</f>
        <v>0</v>
      </c>
      <c r="H317" s="46">
        <f>if(ISNA(vlookup($A317, RotoWire!$B$2:$E$681, 4, false)), 0, vlookup($A317, RotoWire!$B$2:$E$681, 4, false))</f>
        <v>0</v>
      </c>
      <c r="I317" s="47">
        <f t="shared" si="1"/>
        <v>0</v>
      </c>
      <c r="J317" s="47">
        <f t="shared" si="2"/>
        <v>0</v>
      </c>
    </row>
    <row r="318">
      <c r="A318" s="44" t="s">
        <v>610</v>
      </c>
      <c r="B318" s="45" t="s">
        <v>172</v>
      </c>
      <c r="C318" s="45" t="s">
        <v>43</v>
      </c>
      <c r="D318" s="49"/>
      <c r="E318" s="46">
        <f>if(ISNA(vlookup($A318, ESPN!$B$2:$E$281, 4, false)), 0, vlookup($A318, ESPN!$B$2:$E$281, 4, false))</f>
        <v>0</v>
      </c>
      <c r="F318" s="46">
        <f>if(ISNA(vlookup($A318, Scout.com!$B$2:$E$239, 4, false)), 0, vlookup($A318, Scout.com!$B$2:$E$239, 4, false))</f>
        <v>0</v>
      </c>
      <c r="G318" s="46">
        <f>if(ISNA(vlookup($A318, FantasyPro!$B$2:$E$318, 4, false)), 0, vlookup($A318, FantasyPro!$B$2:$E$318, 4, false))</f>
        <v>0</v>
      </c>
      <c r="H318" s="46">
        <f>if(ISNA(vlookup($A318, RotoWire!$B$2:$E$681, 4, false)), 0, vlookup($A318, RotoWire!$B$2:$E$681, 4, false))</f>
        <v>0</v>
      </c>
      <c r="I318" s="47">
        <f t="shared" si="1"/>
        <v>0</v>
      </c>
      <c r="J318" s="47">
        <f t="shared" si="2"/>
        <v>0</v>
      </c>
    </row>
    <row r="319">
      <c r="A319" s="44" t="s">
        <v>663</v>
      </c>
      <c r="B319" s="48" t="s">
        <v>30</v>
      </c>
      <c r="C319" s="45" t="s">
        <v>97</v>
      </c>
      <c r="D319" s="45">
        <v>9.0</v>
      </c>
      <c r="E319" s="46">
        <f>if(ISNA(vlookup($A319, ESPN!$B$2:$E$281, 4, false)), 0, vlookup($A319, ESPN!$B$2:$E$281, 4, false))</f>
        <v>0</v>
      </c>
      <c r="F319" s="46">
        <f>if(ISNA(vlookup($A319, Scout.com!$B$2:$E$239, 4, false)), 0, vlookup($A319, Scout.com!$B$2:$E$239, 4, false))</f>
        <v>0</v>
      </c>
      <c r="G319" s="46">
        <f>if(ISNA(vlookup($A319, FantasyPro!$B$2:$E$318, 4, false)), 0, vlookup($A319, FantasyPro!$B$2:$E$318, 4, false))</f>
        <v>0</v>
      </c>
      <c r="H319" s="46">
        <f>if(ISNA(vlookup($A319, RotoWire!$B$2:$E$681, 4, false)), 0, vlookup($A319, RotoWire!$B$2:$E$681, 4, false))</f>
        <v>0</v>
      </c>
      <c r="I319" s="47">
        <f t="shared" si="1"/>
        <v>0</v>
      </c>
      <c r="J319" s="47">
        <f t="shared" si="2"/>
        <v>0</v>
      </c>
    </row>
    <row r="320">
      <c r="A320" s="44" t="s">
        <v>570</v>
      </c>
      <c r="B320" s="45" t="s">
        <v>19</v>
      </c>
      <c r="C320" s="45" t="s">
        <v>17</v>
      </c>
      <c r="D320" s="45">
        <v>9.0</v>
      </c>
      <c r="E320" s="46">
        <f>if(ISNA(vlookup($A320, ESPN!$B$2:$E$281, 4, false)), 0, vlookup($A320, ESPN!$B$2:$E$281, 4, false))</f>
        <v>0</v>
      </c>
      <c r="F320" s="46">
        <f>if(ISNA(vlookup($A320, Scout.com!$B$2:$E$239, 4, false)), 0, vlookup($A320, Scout.com!$B$2:$E$239, 4, false))</f>
        <v>0</v>
      </c>
      <c r="G320" s="46">
        <f>if(ISNA(vlookup($A320, FantasyPro!$B$2:$E$318, 4, false)), 0, vlookup($A320, FantasyPro!$B$2:$E$318, 4, false))</f>
        <v>0</v>
      </c>
      <c r="H320" s="46">
        <f>if(ISNA(vlookup($A320, RotoWire!$B$2:$E$681, 4, false)), 0, vlookup($A320, RotoWire!$B$2:$E$681, 4, false))</f>
        <v>0</v>
      </c>
      <c r="I320" s="47">
        <f t="shared" si="1"/>
        <v>0</v>
      </c>
      <c r="J320" s="47">
        <f t="shared" si="2"/>
        <v>0</v>
      </c>
    </row>
    <row r="321">
      <c r="A321" s="44" t="s">
        <v>400</v>
      </c>
      <c r="B321" s="45" t="s">
        <v>51</v>
      </c>
      <c r="C321" s="45" t="s">
        <v>219</v>
      </c>
      <c r="D321" s="45">
        <v>5.0</v>
      </c>
      <c r="E321" s="46">
        <f>if(ISNA(vlookup($A321, ESPN!$B$2:$E$281, 4, false)), 0, vlookup($A321, ESPN!$B$2:$E$281, 4, false))</f>
        <v>0</v>
      </c>
      <c r="F321" s="46">
        <f>if(ISNA(vlookup($A321, Scout.com!$B$2:$E$239, 4, false)), 0, vlookup($A321, Scout.com!$B$2:$E$239, 4, false))</f>
        <v>0</v>
      </c>
      <c r="G321" s="46">
        <f>if(ISNA(vlookup($A321, FantasyPro!$B$2:$E$318, 4, false)), 0, vlookup($A321, FantasyPro!$B$2:$E$318, 4, false))</f>
        <v>0</v>
      </c>
      <c r="H321" s="46">
        <f>if(ISNA(vlookup($A321, RotoWire!$B$2:$E$681, 4, false)), 0, vlookup($A321, RotoWire!$B$2:$E$681, 4, false))</f>
        <v>0</v>
      </c>
      <c r="I321" s="47">
        <f t="shared" si="1"/>
        <v>0</v>
      </c>
      <c r="J321" s="47">
        <f t="shared" si="2"/>
        <v>0</v>
      </c>
    </row>
    <row r="322">
      <c r="A322" s="44" t="s">
        <v>674</v>
      </c>
      <c r="B322" s="45" t="s">
        <v>172</v>
      </c>
      <c r="C322" s="45" t="s">
        <v>97</v>
      </c>
      <c r="D322" s="49"/>
      <c r="E322" s="46">
        <f>if(ISNA(vlookup($A322, ESPN!$B$2:$E$281, 4, false)), 0, vlookup($A322, ESPN!$B$2:$E$281, 4, false))</f>
        <v>0</v>
      </c>
      <c r="F322" s="46">
        <f>if(ISNA(vlookup($A322, Scout.com!$B$2:$E$239, 4, false)), 0, vlookup($A322, Scout.com!$B$2:$E$239, 4, false))</f>
        <v>0</v>
      </c>
      <c r="G322" s="46">
        <f>if(ISNA(vlookup($A322, FantasyPro!$B$2:$E$318, 4, false)), 0, vlookup($A322, FantasyPro!$B$2:$E$318, 4, false))</f>
        <v>0</v>
      </c>
      <c r="H322" s="46">
        <f>if(ISNA(vlookup($A322, RotoWire!$B$2:$E$681, 4, false)), 0, vlookup($A322, RotoWire!$B$2:$E$681, 4, false))</f>
        <v>0</v>
      </c>
      <c r="I322" s="47">
        <f t="shared" si="1"/>
        <v>0</v>
      </c>
      <c r="J322" s="47">
        <f t="shared" si="2"/>
        <v>0</v>
      </c>
    </row>
    <row r="323">
      <c r="A323" s="44" t="s">
        <v>657</v>
      </c>
      <c r="B323" s="45" t="s">
        <v>123</v>
      </c>
      <c r="C323" s="45" t="s">
        <v>97</v>
      </c>
      <c r="D323" s="45">
        <v>4.0</v>
      </c>
      <c r="E323" s="46">
        <f>if(ISNA(vlookup($A323, ESPN!$B$2:$E$281, 4, false)), 0, vlookup($A323, ESPN!$B$2:$E$281, 4, false))</f>
        <v>0</v>
      </c>
      <c r="F323" s="46">
        <f>if(ISNA(vlookup($A323, Scout.com!$B$2:$E$239, 4, false)), 0, vlookup($A323, Scout.com!$B$2:$E$239, 4, false))</f>
        <v>0</v>
      </c>
      <c r="G323" s="46">
        <f>if(ISNA(vlookup($A323, FantasyPro!$B$2:$E$318, 4, false)), 0, vlookup($A323, FantasyPro!$B$2:$E$318, 4, false))</f>
        <v>0</v>
      </c>
      <c r="H323" s="46">
        <f>if(ISNA(vlookup($A323, RotoWire!$B$2:$E$681, 4, false)), 0, vlookup($A323, RotoWire!$B$2:$E$681, 4, false))</f>
        <v>0</v>
      </c>
      <c r="I323" s="47">
        <f t="shared" si="1"/>
        <v>0</v>
      </c>
      <c r="J323" s="47">
        <f t="shared" si="2"/>
        <v>0</v>
      </c>
    </row>
    <row r="324">
      <c r="A324" s="44" t="s">
        <v>415</v>
      </c>
      <c r="B324" s="45" t="s">
        <v>172</v>
      </c>
      <c r="C324" s="45" t="s">
        <v>219</v>
      </c>
      <c r="D324" s="49"/>
      <c r="E324" s="46">
        <f>if(ISNA(vlookup($A324, ESPN!$B$2:$E$281, 4, false)), 0, vlookup($A324, ESPN!$B$2:$E$281, 4, false))</f>
        <v>0</v>
      </c>
      <c r="F324" s="46">
        <f>if(ISNA(vlookup($A324, Scout.com!$B$2:$E$239, 4, false)), 0, vlookup($A324, Scout.com!$B$2:$E$239, 4, false))</f>
        <v>0</v>
      </c>
      <c r="G324" s="46">
        <f>if(ISNA(vlookup($A324, FantasyPro!$B$2:$E$318, 4, false)), 0, vlookup($A324, FantasyPro!$B$2:$E$318, 4, false))</f>
        <v>0</v>
      </c>
      <c r="H324" s="46">
        <f>if(ISNA(vlookup($A324, RotoWire!$B$2:$E$681, 4, false)), 0, vlookup($A324, RotoWire!$B$2:$E$681, 4, false))</f>
        <v>0</v>
      </c>
      <c r="I324" s="47">
        <f t="shared" si="1"/>
        <v>0</v>
      </c>
      <c r="J324" s="47">
        <f t="shared" si="2"/>
        <v>0</v>
      </c>
    </row>
    <row r="325">
      <c r="A325" s="44" t="s">
        <v>670</v>
      </c>
      <c r="B325" s="45" t="s">
        <v>13</v>
      </c>
      <c r="C325" s="45" t="s">
        <v>97</v>
      </c>
      <c r="D325" s="45">
        <v>8.0</v>
      </c>
      <c r="E325" s="46">
        <f>if(ISNA(vlookup($A325, ESPN!$B$2:$E$281, 4, false)), 0, vlookup($A325, ESPN!$B$2:$E$281, 4, false))</f>
        <v>0</v>
      </c>
      <c r="F325" s="46">
        <f>if(ISNA(vlookup($A325, Scout.com!$B$2:$E$239, 4, false)), 0, vlookup($A325, Scout.com!$B$2:$E$239, 4, false))</f>
        <v>0</v>
      </c>
      <c r="G325" s="46">
        <f>if(ISNA(vlookup($A325, FantasyPro!$B$2:$E$318, 4, false)), 0, vlookup($A325, FantasyPro!$B$2:$E$318, 4, false))</f>
        <v>0</v>
      </c>
      <c r="H325" s="46">
        <f>if(ISNA(vlookup($A325, RotoWire!$B$2:$E$681, 4, false)), 0, vlookup($A325, RotoWire!$B$2:$E$681, 4, false))</f>
        <v>0</v>
      </c>
      <c r="I325" s="47">
        <f t="shared" si="1"/>
        <v>0</v>
      </c>
      <c r="J325" s="47">
        <f t="shared" si="2"/>
        <v>0</v>
      </c>
    </row>
    <row r="326">
      <c r="A326" s="44" t="s">
        <v>445</v>
      </c>
      <c r="B326" s="45" t="s">
        <v>15</v>
      </c>
      <c r="C326" s="45" t="s">
        <v>17</v>
      </c>
      <c r="D326" s="45">
        <v>11.0</v>
      </c>
      <c r="E326" s="46">
        <f>if(ISNA(vlookup($A326, ESPN!$B$2:$E$281, 4, false)), 0, vlookup($A326, ESPN!$B$2:$E$281, 4, false))</f>
        <v>0</v>
      </c>
      <c r="F326" s="46">
        <f>if(ISNA(vlookup($A326, Scout.com!$B$2:$E$239, 4, false)), 0, vlookup($A326, Scout.com!$B$2:$E$239, 4, false))</f>
        <v>0</v>
      </c>
      <c r="G326" s="46">
        <f>if(ISNA(vlookup($A326, FantasyPro!$B$2:$E$318, 4, false)), 0, vlookup($A326, FantasyPro!$B$2:$E$318, 4, false))</f>
        <v>0</v>
      </c>
      <c r="H326" s="46">
        <f>if(ISNA(vlookup($A326, RotoWire!$B$2:$E$681, 4, false)), 0, vlookup($A326, RotoWire!$B$2:$E$681, 4, false))</f>
        <v>0</v>
      </c>
      <c r="I326" s="47">
        <f t="shared" si="1"/>
        <v>0</v>
      </c>
      <c r="J326" s="47">
        <f t="shared" si="2"/>
        <v>0</v>
      </c>
    </row>
    <row r="327">
      <c r="A327" s="44" t="s">
        <v>375</v>
      </c>
      <c r="B327" s="45" t="s">
        <v>70</v>
      </c>
      <c r="C327" s="45" t="s">
        <v>17</v>
      </c>
      <c r="D327" s="45">
        <v>11.0</v>
      </c>
      <c r="E327" s="46">
        <f>if(ISNA(vlookup($A327, ESPN!$B$2:$E$281, 4, false)), 0, vlookup($A327, ESPN!$B$2:$E$281, 4, false))</f>
        <v>0</v>
      </c>
      <c r="F327" s="46">
        <f>if(ISNA(vlookup($A327, Scout.com!$B$2:$E$239, 4, false)), 0, vlookup($A327, Scout.com!$B$2:$E$239, 4, false))</f>
        <v>0</v>
      </c>
      <c r="G327" s="46">
        <f>if(ISNA(vlookup($A327, FantasyPro!$B$2:$E$318, 4, false)), 0, vlookup($A327, FantasyPro!$B$2:$E$318, 4, false))</f>
        <v>0</v>
      </c>
      <c r="H327" s="46">
        <f>if(ISNA(vlookup($A327, RotoWire!$B$2:$E$681, 4, false)), 0, vlookup($A327, RotoWire!$B$2:$E$681, 4, false))</f>
        <v>0</v>
      </c>
      <c r="I327" s="47">
        <f t="shared" si="1"/>
        <v>0</v>
      </c>
      <c r="J327" s="47">
        <f t="shared" si="2"/>
        <v>0</v>
      </c>
    </row>
    <row r="328">
      <c r="A328" s="44" t="s">
        <v>281</v>
      </c>
      <c r="B328" s="48" t="s">
        <v>30</v>
      </c>
      <c r="C328" s="45" t="s">
        <v>7</v>
      </c>
      <c r="D328" s="45">
        <v>9.0</v>
      </c>
      <c r="E328" s="46">
        <f>if(ISNA(vlookup($A328, ESPN!$B$2:$E$281, 4, false)), 0, vlookup($A328, ESPN!$B$2:$E$281, 4, false))</f>
        <v>0</v>
      </c>
      <c r="F328" s="46">
        <f>if(ISNA(vlookup($A328, Scout.com!$B$2:$E$239, 4, false)), 0, vlookup($A328, Scout.com!$B$2:$E$239, 4, false))</f>
        <v>0</v>
      </c>
      <c r="G328" s="46">
        <f>if(ISNA(vlookup($A328, FantasyPro!$B$2:$E$318, 4, false)), 0, vlookup($A328, FantasyPro!$B$2:$E$318, 4, false))</f>
        <v>0</v>
      </c>
      <c r="H328" s="46">
        <f>if(ISNA(vlookup($A328, RotoWire!$B$2:$E$681, 4, false)), 0, vlookup($A328, RotoWire!$B$2:$E$681, 4, false))</f>
        <v>0</v>
      </c>
      <c r="I328" s="47">
        <f t="shared" si="1"/>
        <v>0</v>
      </c>
      <c r="J328" s="47">
        <f t="shared" si="2"/>
        <v>0</v>
      </c>
    </row>
    <row r="329">
      <c r="A329" s="44" t="s">
        <v>418</v>
      </c>
      <c r="B329" s="45" t="s">
        <v>41</v>
      </c>
      <c r="C329" s="45" t="s">
        <v>17</v>
      </c>
      <c r="D329" s="45">
        <v>4.0</v>
      </c>
      <c r="E329" s="46">
        <f>if(ISNA(vlookup($A329, ESPN!$B$2:$E$281, 4, false)), 0, vlookup($A329, ESPN!$B$2:$E$281, 4, false))</f>
        <v>0</v>
      </c>
      <c r="F329" s="46">
        <f>if(ISNA(vlookup($A329, Scout.com!$B$2:$E$239, 4, false)), 0, vlookup($A329, Scout.com!$B$2:$E$239, 4, false))</f>
        <v>0</v>
      </c>
      <c r="G329" s="46">
        <f>if(ISNA(vlookup($A329, FantasyPro!$B$2:$E$318, 4, false)), 0, vlookup($A329, FantasyPro!$B$2:$E$318, 4, false))</f>
        <v>0</v>
      </c>
      <c r="H329" s="46">
        <f>if(ISNA(vlookup($A329, RotoWire!$B$2:$E$681, 4, false)), 0, vlookup($A329, RotoWire!$B$2:$E$681, 4, false))</f>
        <v>0</v>
      </c>
      <c r="I329" s="47">
        <f t="shared" si="1"/>
        <v>0</v>
      </c>
      <c r="J329" s="47">
        <f t="shared" si="2"/>
        <v>0</v>
      </c>
    </row>
    <row r="330">
      <c r="A330" s="44" t="s">
        <v>420</v>
      </c>
      <c r="B330" s="48" t="s">
        <v>30</v>
      </c>
      <c r="C330" s="45" t="s">
        <v>17</v>
      </c>
      <c r="D330" s="45">
        <v>9.0</v>
      </c>
      <c r="E330" s="46">
        <f>if(ISNA(vlookup($A330, ESPN!$B$2:$E$281, 4, false)), 0, vlookup($A330, ESPN!$B$2:$E$281, 4, false))</f>
        <v>0</v>
      </c>
      <c r="F330" s="46">
        <f>if(ISNA(vlookup($A330, Scout.com!$B$2:$E$239, 4, false)), 0, vlookup($A330, Scout.com!$B$2:$E$239, 4, false))</f>
        <v>0</v>
      </c>
      <c r="G330" s="46">
        <f>if(ISNA(vlookup($A330, FantasyPro!$B$2:$E$318, 4, false)), 0, vlookup($A330, FantasyPro!$B$2:$E$318, 4, false))</f>
        <v>0</v>
      </c>
      <c r="H330" s="46">
        <f>if(ISNA(vlookup($A330, RotoWire!$B$2:$E$681, 4, false)), 0, vlookup($A330, RotoWire!$B$2:$E$681, 4, false))</f>
        <v>0</v>
      </c>
      <c r="I330" s="47">
        <f t="shared" si="1"/>
        <v>0</v>
      </c>
      <c r="J330" s="47">
        <f t="shared" si="2"/>
        <v>0</v>
      </c>
    </row>
    <row r="331">
      <c r="A331" s="44" t="s">
        <v>499</v>
      </c>
      <c r="B331" s="45" t="s">
        <v>11</v>
      </c>
      <c r="C331" s="45" t="s">
        <v>7</v>
      </c>
      <c r="D331" s="45">
        <v>9.0</v>
      </c>
      <c r="E331" s="46">
        <f>if(ISNA(vlookup($A331, ESPN!$B$2:$E$281, 4, false)), 0, vlookup($A331, ESPN!$B$2:$E$281, 4, false))</f>
        <v>0</v>
      </c>
      <c r="F331" s="46">
        <f>if(ISNA(vlookup($A331, Scout.com!$B$2:$E$239, 4, false)), 0, vlookup($A331, Scout.com!$B$2:$E$239, 4, false))</f>
        <v>0</v>
      </c>
      <c r="G331" s="46">
        <f>if(ISNA(vlookup($A331, FantasyPro!$B$2:$E$318, 4, false)), 0, vlookup($A331, FantasyPro!$B$2:$E$318, 4, false))</f>
        <v>0</v>
      </c>
      <c r="H331" s="46">
        <f>if(ISNA(vlookup($A331, RotoWire!$B$2:$E$681, 4, false)), 0, vlookup($A331, RotoWire!$B$2:$E$681, 4, false))</f>
        <v>0</v>
      </c>
      <c r="I331" s="47">
        <f t="shared" si="1"/>
        <v>0</v>
      </c>
      <c r="J331" s="47">
        <f t="shared" si="2"/>
        <v>0</v>
      </c>
    </row>
    <row r="332">
      <c r="A332" s="44" t="s">
        <v>476</v>
      </c>
      <c r="B332" s="45" t="s">
        <v>63</v>
      </c>
      <c r="C332" s="45" t="s">
        <v>17</v>
      </c>
      <c r="D332" s="45">
        <v>10.0</v>
      </c>
      <c r="E332" s="46">
        <f>if(ISNA(vlookup($A332, ESPN!$B$2:$E$281, 4, false)), 0, vlookup($A332, ESPN!$B$2:$E$281, 4, false))</f>
        <v>0</v>
      </c>
      <c r="F332" s="46">
        <f>if(ISNA(vlookup($A332, Scout.com!$B$2:$E$239, 4, false)), 0, vlookup($A332, Scout.com!$B$2:$E$239, 4, false))</f>
        <v>0</v>
      </c>
      <c r="G332" s="46">
        <f>if(ISNA(vlookup($A332, FantasyPro!$B$2:$E$318, 4, false)), 0, vlookup($A332, FantasyPro!$B$2:$E$318, 4, false))</f>
        <v>0</v>
      </c>
      <c r="H332" s="46">
        <f>if(ISNA(vlookup($A332, RotoWire!$B$2:$E$681, 4, false)), 0, vlookup($A332, RotoWire!$B$2:$E$681, 4, false))</f>
        <v>0</v>
      </c>
      <c r="I332" s="47">
        <f t="shared" si="1"/>
        <v>0</v>
      </c>
      <c r="J332" s="47">
        <f t="shared" si="2"/>
        <v>0</v>
      </c>
    </row>
    <row r="333">
      <c r="A333" s="44" t="s">
        <v>347</v>
      </c>
      <c r="B333" s="45" t="s">
        <v>13</v>
      </c>
      <c r="C333" s="45" t="s">
        <v>199</v>
      </c>
      <c r="D333" s="45">
        <v>8.0</v>
      </c>
      <c r="E333" s="46">
        <f>if(ISNA(vlookup($A333, ESPN!$B$2:$E$281, 4, false)), 0, vlookup($A333, ESPN!$B$2:$E$281, 4, false))</f>
        <v>0</v>
      </c>
      <c r="F333" s="46">
        <f>if(ISNA(vlookup($A333, Scout.com!$B$2:$E$239, 4, false)), 0, vlookup($A333, Scout.com!$B$2:$E$239, 4, false))</f>
        <v>0</v>
      </c>
      <c r="G333" s="46">
        <f>if(ISNA(vlookup($A333, FantasyPro!$B$2:$E$318, 4, false)), 0, vlookup($A333, FantasyPro!$B$2:$E$318, 4, false))</f>
        <v>0</v>
      </c>
      <c r="H333" s="46">
        <f>if(ISNA(vlookup($A333, RotoWire!$B$2:$E$681, 4, false)), 0, vlookup($A333, RotoWire!$B$2:$E$681, 4, false))</f>
        <v>0</v>
      </c>
      <c r="I333" s="47">
        <f t="shared" si="1"/>
        <v>0</v>
      </c>
      <c r="J333" s="47">
        <f t="shared" si="2"/>
        <v>0</v>
      </c>
    </row>
    <row r="334">
      <c r="A334" s="44" t="s">
        <v>479</v>
      </c>
      <c r="B334" s="45" t="s">
        <v>60</v>
      </c>
      <c r="C334" s="45" t="s">
        <v>43</v>
      </c>
      <c r="D334" s="45">
        <v>9.0</v>
      </c>
      <c r="E334" s="46">
        <f>if(ISNA(vlookup($A334, ESPN!$B$2:$E$281, 4, false)), 0, vlookup($A334, ESPN!$B$2:$E$281, 4, false))</f>
        <v>0</v>
      </c>
      <c r="F334" s="46">
        <f>if(ISNA(vlookup($A334, Scout.com!$B$2:$E$239, 4, false)), 0, vlookup($A334, Scout.com!$B$2:$E$239, 4, false))</f>
        <v>0</v>
      </c>
      <c r="G334" s="46">
        <f>if(ISNA(vlookup($A334, FantasyPro!$B$2:$E$318, 4, false)), 0, vlookup($A334, FantasyPro!$B$2:$E$318, 4, false))</f>
        <v>0</v>
      </c>
      <c r="H334" s="46">
        <f>if(ISNA(vlookup($A334, RotoWire!$B$2:$E$681, 4, false)), 0, vlookup($A334, RotoWire!$B$2:$E$681, 4, false))</f>
        <v>0</v>
      </c>
      <c r="I334" s="47">
        <f t="shared" si="1"/>
        <v>0</v>
      </c>
      <c r="J334" s="47">
        <f t="shared" si="2"/>
        <v>0</v>
      </c>
    </row>
    <row r="335">
      <c r="A335" s="44" t="s">
        <v>540</v>
      </c>
      <c r="B335" s="45" t="s">
        <v>13</v>
      </c>
      <c r="C335" s="45" t="s">
        <v>43</v>
      </c>
      <c r="D335" s="45">
        <v>8.0</v>
      </c>
      <c r="E335" s="46">
        <f>if(ISNA(vlookup($A335, ESPN!$B$2:$E$281, 4, false)), 0, vlookup($A335, ESPN!$B$2:$E$281, 4, false))</f>
        <v>0</v>
      </c>
      <c r="F335" s="46">
        <f>if(ISNA(vlookup($A335, Scout.com!$B$2:$E$239, 4, false)), 0, vlookup($A335, Scout.com!$B$2:$E$239, 4, false))</f>
        <v>0</v>
      </c>
      <c r="G335" s="46">
        <f>if(ISNA(vlookup($A335, FantasyPro!$B$2:$E$318, 4, false)), 0, vlookup($A335, FantasyPro!$B$2:$E$318, 4, false))</f>
        <v>0</v>
      </c>
      <c r="H335" s="46">
        <f>if(ISNA(vlookup($A335, RotoWire!$B$2:$E$681, 4, false)), 0, vlookup($A335, RotoWire!$B$2:$E$681, 4, false))</f>
        <v>0</v>
      </c>
      <c r="I335" s="47">
        <f t="shared" si="1"/>
        <v>0</v>
      </c>
      <c r="J335" s="47">
        <f t="shared" si="2"/>
        <v>0</v>
      </c>
    </row>
    <row r="336">
      <c r="A336" s="44" t="s">
        <v>454</v>
      </c>
      <c r="B336" s="45" t="s">
        <v>28</v>
      </c>
      <c r="C336" s="45" t="s">
        <v>7</v>
      </c>
      <c r="D336" s="45">
        <v>12.0</v>
      </c>
      <c r="E336" s="46">
        <f>if(ISNA(vlookup($A336, ESPN!$B$2:$E$281, 4, false)), 0, vlookup($A336, ESPN!$B$2:$E$281, 4, false))</f>
        <v>0</v>
      </c>
      <c r="F336" s="46">
        <f>if(ISNA(vlookup($A336, Scout.com!$B$2:$E$239, 4, false)), 0, vlookup($A336, Scout.com!$B$2:$E$239, 4, false))</f>
        <v>0</v>
      </c>
      <c r="G336" s="46">
        <f>if(ISNA(vlookup($A336, FantasyPro!$B$2:$E$318, 4, false)), 0, vlookup($A336, FantasyPro!$B$2:$E$318, 4, false))</f>
        <v>0</v>
      </c>
      <c r="H336" s="46">
        <f>if(ISNA(vlookup($A336, RotoWire!$B$2:$E$681, 4, false)), 0, vlookup($A336, RotoWire!$B$2:$E$681, 4, false))</f>
        <v>0</v>
      </c>
      <c r="I336" s="47">
        <f t="shared" si="1"/>
        <v>0</v>
      </c>
      <c r="J336" s="47">
        <f t="shared" si="2"/>
        <v>0</v>
      </c>
    </row>
    <row r="337">
      <c r="A337" s="44" t="s">
        <v>608</v>
      </c>
      <c r="B337" s="45" t="s">
        <v>67</v>
      </c>
      <c r="C337" s="45" t="s">
        <v>17</v>
      </c>
      <c r="D337" s="45">
        <v>11.0</v>
      </c>
      <c r="E337" s="46">
        <f>if(ISNA(vlookup($A337, ESPN!$B$2:$E$281, 4, false)), 0, vlookup($A337, ESPN!$B$2:$E$281, 4, false))</f>
        <v>0</v>
      </c>
      <c r="F337" s="46">
        <f>if(ISNA(vlookup($A337, Scout.com!$B$2:$E$239, 4, false)), 0, vlookup($A337, Scout.com!$B$2:$E$239, 4, false))</f>
        <v>0</v>
      </c>
      <c r="G337" s="46">
        <f>if(ISNA(vlookup($A337, FantasyPro!$B$2:$E$318, 4, false)), 0, vlookup($A337, FantasyPro!$B$2:$E$318, 4, false))</f>
        <v>0</v>
      </c>
      <c r="H337" s="46">
        <f>if(ISNA(vlookup($A337, RotoWire!$B$2:$E$681, 4, false)), 0, vlookup($A337, RotoWire!$B$2:$E$681, 4, false))</f>
        <v>0</v>
      </c>
      <c r="I337" s="47">
        <f t="shared" si="1"/>
        <v>0</v>
      </c>
      <c r="J337" s="47">
        <f t="shared" si="2"/>
        <v>0</v>
      </c>
    </row>
    <row r="338">
      <c r="A338" s="44" t="s">
        <v>266</v>
      </c>
      <c r="B338" s="45" t="s">
        <v>13</v>
      </c>
      <c r="C338" s="45" t="s">
        <v>219</v>
      </c>
      <c r="D338" s="45">
        <v>8.0</v>
      </c>
      <c r="E338" s="46">
        <f>if(ISNA(vlookup($A338, ESPN!$B$2:$E$281, 4, false)), 0, vlookup($A338, ESPN!$B$2:$E$281, 4, false))</f>
        <v>0</v>
      </c>
      <c r="F338" s="46">
        <f>if(ISNA(vlookup($A338, Scout.com!$B$2:$E$239, 4, false)), 0, vlookup($A338, Scout.com!$B$2:$E$239, 4, false))</f>
        <v>0</v>
      </c>
      <c r="G338" s="46">
        <f>if(ISNA(vlookup($A338, FantasyPro!$B$2:$E$318, 4, false)), 0, vlookup($A338, FantasyPro!$B$2:$E$318, 4, false))</f>
        <v>0</v>
      </c>
      <c r="H338" s="46">
        <f>if(ISNA(vlookup($A338, RotoWire!$B$2:$E$681, 4, false)), 0, vlookup($A338, RotoWire!$B$2:$E$681, 4, false))</f>
        <v>0</v>
      </c>
      <c r="I338" s="47">
        <f t="shared" si="1"/>
        <v>0</v>
      </c>
      <c r="J338" s="47">
        <f t="shared" si="2"/>
        <v>0</v>
      </c>
    </row>
    <row r="339">
      <c r="A339" s="44" t="s">
        <v>295</v>
      </c>
      <c r="B339" s="45" t="s">
        <v>32</v>
      </c>
      <c r="C339" s="45" t="s">
        <v>219</v>
      </c>
      <c r="D339" s="45">
        <v>10.0</v>
      </c>
      <c r="E339" s="46">
        <f>if(ISNA(vlookup($A339, ESPN!$B$2:$E$281, 4, false)), 0, vlookup($A339, ESPN!$B$2:$E$281, 4, false))</f>
        <v>0</v>
      </c>
      <c r="F339" s="46">
        <f>if(ISNA(vlookup($A339, Scout.com!$B$2:$E$239, 4, false)), 0, vlookup($A339, Scout.com!$B$2:$E$239, 4, false))</f>
        <v>0</v>
      </c>
      <c r="G339" s="46">
        <f>if(ISNA(vlookup($A339, FantasyPro!$B$2:$E$318, 4, false)), 0, vlookup($A339, FantasyPro!$B$2:$E$318, 4, false))</f>
        <v>0</v>
      </c>
      <c r="H339" s="46">
        <f>if(ISNA(vlookup($A339, RotoWire!$B$2:$E$681, 4, false)), 0, vlookup($A339, RotoWire!$B$2:$E$681, 4, false))</f>
        <v>0</v>
      </c>
      <c r="I339" s="47">
        <f t="shared" si="1"/>
        <v>0</v>
      </c>
      <c r="J339" s="47">
        <f t="shared" si="2"/>
        <v>0</v>
      </c>
    </row>
    <row r="340">
      <c r="A340" s="44" t="s">
        <v>688</v>
      </c>
      <c r="B340" s="45" t="s">
        <v>15</v>
      </c>
      <c r="C340" s="45" t="s">
        <v>97</v>
      </c>
      <c r="D340" s="45">
        <v>11.0</v>
      </c>
      <c r="E340" s="46">
        <f>if(ISNA(vlookup($A340, ESPN!$B$2:$E$281, 4, false)), 0, vlookup($A340, ESPN!$B$2:$E$281, 4, false))</f>
        <v>0</v>
      </c>
      <c r="F340" s="46">
        <f>if(ISNA(vlookup($A340, Scout.com!$B$2:$E$239, 4, false)), 0, vlookup($A340, Scout.com!$B$2:$E$239, 4, false))</f>
        <v>0</v>
      </c>
      <c r="G340" s="46">
        <f>if(ISNA(vlookup($A340, FantasyPro!$B$2:$E$318, 4, false)), 0, vlookup($A340, FantasyPro!$B$2:$E$318, 4, false))</f>
        <v>0</v>
      </c>
      <c r="H340" s="46">
        <f>if(ISNA(vlookup($A340, RotoWire!$B$2:$E$681, 4, false)), 0, vlookup($A340, RotoWire!$B$2:$E$681, 4, false))</f>
        <v>0</v>
      </c>
      <c r="I340" s="47">
        <f t="shared" si="1"/>
        <v>0</v>
      </c>
      <c r="J340" s="47">
        <f t="shared" si="2"/>
        <v>0</v>
      </c>
    </row>
    <row r="341">
      <c r="A341" s="44" t="s">
        <v>623</v>
      </c>
      <c r="B341" s="45" t="s">
        <v>67</v>
      </c>
      <c r="C341" s="45" t="s">
        <v>43</v>
      </c>
      <c r="D341" s="45">
        <v>11.0</v>
      </c>
      <c r="E341" s="46">
        <f>if(ISNA(vlookup($A341, ESPN!$B$2:$E$281, 4, false)), 0, vlookup($A341, ESPN!$B$2:$E$281, 4, false))</f>
        <v>0</v>
      </c>
      <c r="F341" s="46">
        <f>if(ISNA(vlookup($A341, Scout.com!$B$2:$E$239, 4, false)), 0, vlookup($A341, Scout.com!$B$2:$E$239, 4, false))</f>
        <v>0</v>
      </c>
      <c r="G341" s="46">
        <f>if(ISNA(vlookup($A341, FantasyPro!$B$2:$E$318, 4, false)), 0, vlookup($A341, FantasyPro!$B$2:$E$318, 4, false))</f>
        <v>0</v>
      </c>
      <c r="H341" s="46">
        <f>if(ISNA(vlookup($A341, RotoWire!$B$2:$E$681, 4, false)), 0, vlookup($A341, RotoWire!$B$2:$E$681, 4, false))</f>
        <v>0</v>
      </c>
      <c r="I341" s="47">
        <f t="shared" si="1"/>
        <v>0</v>
      </c>
      <c r="J341" s="47">
        <f t="shared" si="2"/>
        <v>0</v>
      </c>
    </row>
    <row r="342">
      <c r="A342" s="44" t="s">
        <v>239</v>
      </c>
      <c r="B342" s="45" t="s">
        <v>60</v>
      </c>
      <c r="C342" s="45" t="s">
        <v>7</v>
      </c>
      <c r="D342" s="45">
        <v>9.0</v>
      </c>
      <c r="E342" s="46">
        <f>if(ISNA(vlookup($A342, ESPN!$B$2:$E$281, 4, false)), 0, vlookup($A342, ESPN!$B$2:$E$281, 4, false))</f>
        <v>0</v>
      </c>
      <c r="F342" s="46">
        <f>if(ISNA(vlookup($A342, Scout.com!$B$2:$E$239, 4, false)), 0, vlookup($A342, Scout.com!$B$2:$E$239, 4, false))</f>
        <v>0</v>
      </c>
      <c r="G342" s="46">
        <f>if(ISNA(vlookup($A342, FantasyPro!$B$2:$E$318, 4, false)), 0, vlookup($A342, FantasyPro!$B$2:$E$318, 4, false))</f>
        <v>0</v>
      </c>
      <c r="H342" s="46">
        <f>if(ISNA(vlookup($A342, RotoWire!$B$2:$E$681, 4, false)), 0, vlookup($A342, RotoWire!$B$2:$E$681, 4, false))</f>
        <v>0</v>
      </c>
      <c r="I342" s="47">
        <f t="shared" si="1"/>
        <v>0</v>
      </c>
      <c r="J342" s="47">
        <f t="shared" si="2"/>
        <v>0</v>
      </c>
    </row>
    <row r="343">
      <c r="A343" s="44" t="s">
        <v>602</v>
      </c>
      <c r="B343" s="45" t="s">
        <v>6</v>
      </c>
      <c r="C343" s="45" t="s">
        <v>17</v>
      </c>
      <c r="D343" s="45">
        <v>7.0</v>
      </c>
      <c r="E343" s="46">
        <f>if(ISNA(vlookup($A343, ESPN!$B$2:$E$281, 4, false)), 0, vlookup($A343, ESPN!$B$2:$E$281, 4, false))</f>
        <v>0</v>
      </c>
      <c r="F343" s="46">
        <f>if(ISNA(vlookup($A343, Scout.com!$B$2:$E$239, 4, false)), 0, vlookup($A343, Scout.com!$B$2:$E$239, 4, false))</f>
        <v>0</v>
      </c>
      <c r="G343" s="46">
        <f>if(ISNA(vlookup($A343, FantasyPro!$B$2:$E$318, 4, false)), 0, vlookup($A343, FantasyPro!$B$2:$E$318, 4, false))</f>
        <v>0</v>
      </c>
      <c r="H343" s="46">
        <f>if(ISNA(vlookup($A343, RotoWire!$B$2:$E$681, 4, false)), 0, vlookup($A343, RotoWire!$B$2:$E$681, 4, false))</f>
        <v>0</v>
      </c>
      <c r="I343" s="47">
        <f t="shared" si="1"/>
        <v>0</v>
      </c>
      <c r="J343" s="47">
        <f t="shared" si="2"/>
        <v>0</v>
      </c>
    </row>
    <row r="344">
      <c r="A344" s="44" t="s">
        <v>442</v>
      </c>
      <c r="B344" s="45" t="s">
        <v>53</v>
      </c>
      <c r="C344" s="45" t="s">
        <v>17</v>
      </c>
      <c r="D344" s="45">
        <v>9.0</v>
      </c>
      <c r="E344" s="46">
        <f>if(ISNA(vlookup($A344, ESPN!$B$2:$E$281, 4, false)), 0, vlookup($A344, ESPN!$B$2:$E$281, 4, false))</f>
        <v>0</v>
      </c>
      <c r="F344" s="46">
        <f>if(ISNA(vlookup($A344, Scout.com!$B$2:$E$239, 4, false)), 0, vlookup($A344, Scout.com!$B$2:$E$239, 4, false))</f>
        <v>0</v>
      </c>
      <c r="G344" s="46">
        <f>if(ISNA(vlookup($A344, FantasyPro!$B$2:$E$318, 4, false)), 0, vlookup($A344, FantasyPro!$B$2:$E$318, 4, false))</f>
        <v>0</v>
      </c>
      <c r="H344" s="46">
        <f>if(ISNA(vlookup($A344, RotoWire!$B$2:$E$681, 4, false)), 0, vlookup($A344, RotoWire!$B$2:$E$681, 4, false))</f>
        <v>0</v>
      </c>
      <c r="I344" s="47">
        <f t="shared" si="1"/>
        <v>0</v>
      </c>
      <c r="J344" s="47">
        <f t="shared" si="2"/>
        <v>0</v>
      </c>
    </row>
    <row r="345">
      <c r="A345" s="44" t="s">
        <v>585</v>
      </c>
      <c r="B345" s="45" t="s">
        <v>63</v>
      </c>
      <c r="C345" s="45" t="s">
        <v>7</v>
      </c>
      <c r="D345" s="45">
        <v>10.0</v>
      </c>
      <c r="E345" s="46">
        <f>if(ISNA(vlookup($A345, ESPN!$B$2:$E$281, 4, false)), 0, vlookup($A345, ESPN!$B$2:$E$281, 4, false))</f>
        <v>0</v>
      </c>
      <c r="F345" s="46">
        <f>if(ISNA(vlookup($A345, Scout.com!$B$2:$E$239, 4, false)), 0, vlookup($A345, Scout.com!$B$2:$E$239, 4, false))</f>
        <v>0</v>
      </c>
      <c r="G345" s="46">
        <f>if(ISNA(vlookup($A345, FantasyPro!$B$2:$E$318, 4, false)), 0, vlookup($A345, FantasyPro!$B$2:$E$318, 4, false))</f>
        <v>0</v>
      </c>
      <c r="H345" s="46">
        <f>if(ISNA(vlookup($A345, RotoWire!$B$2:$E$681, 4, false)), 0, vlookup($A345, RotoWire!$B$2:$E$681, 4, false))</f>
        <v>0</v>
      </c>
      <c r="I345" s="47">
        <f t="shared" si="1"/>
        <v>0</v>
      </c>
      <c r="J345" s="47">
        <f t="shared" si="2"/>
        <v>0</v>
      </c>
    </row>
    <row r="346">
      <c r="A346" s="44" t="s">
        <v>637</v>
      </c>
      <c r="B346" s="45" t="s">
        <v>19</v>
      </c>
      <c r="C346" s="45" t="s">
        <v>97</v>
      </c>
      <c r="D346" s="45">
        <v>9.0</v>
      </c>
      <c r="E346" s="46">
        <f>if(ISNA(vlookup($A346, ESPN!$B$2:$E$281, 4, false)), 0, vlookup($A346, ESPN!$B$2:$E$281, 4, false))</f>
        <v>0</v>
      </c>
      <c r="F346" s="46">
        <f>if(ISNA(vlookup($A346, Scout.com!$B$2:$E$239, 4, false)), 0, vlookup($A346, Scout.com!$B$2:$E$239, 4, false))</f>
        <v>0</v>
      </c>
      <c r="G346" s="46">
        <f>if(ISNA(vlookup($A346, FantasyPro!$B$2:$E$318, 4, false)), 0, vlookup($A346, FantasyPro!$B$2:$E$318, 4, false))</f>
        <v>0</v>
      </c>
      <c r="H346" s="46">
        <f>if(ISNA(vlookup($A346, RotoWire!$B$2:$E$681, 4, false)), 0, vlookup($A346, RotoWire!$B$2:$E$681, 4, false))</f>
        <v>0</v>
      </c>
      <c r="I346" s="47">
        <f t="shared" si="1"/>
        <v>0</v>
      </c>
      <c r="J346" s="47">
        <f t="shared" si="2"/>
        <v>0</v>
      </c>
    </row>
    <row r="347">
      <c r="A347" s="44" t="s">
        <v>306</v>
      </c>
      <c r="B347" s="45" t="s">
        <v>63</v>
      </c>
      <c r="C347" s="45" t="s">
        <v>7</v>
      </c>
      <c r="D347" s="45">
        <v>10.0</v>
      </c>
      <c r="E347" s="46">
        <f>if(ISNA(vlookup($A347, ESPN!$B$2:$E$281, 4, false)), 0, vlookup($A347, ESPN!$B$2:$E$281, 4, false))</f>
        <v>0</v>
      </c>
      <c r="F347" s="46">
        <f>if(ISNA(vlookup($A347, Scout.com!$B$2:$E$239, 4, false)), 0, vlookup($A347, Scout.com!$B$2:$E$239, 4, false))</f>
        <v>0</v>
      </c>
      <c r="G347" s="46">
        <f>if(ISNA(vlookup($A347, FantasyPro!$B$2:$E$318, 4, false)), 0, vlookup($A347, FantasyPro!$B$2:$E$318, 4, false))</f>
        <v>0</v>
      </c>
      <c r="H347" s="46">
        <f>if(ISNA(vlookup($A347, RotoWire!$B$2:$E$681, 4, false)), 0, vlookup($A347, RotoWire!$B$2:$E$681, 4, false))</f>
        <v>0</v>
      </c>
      <c r="I347" s="47">
        <f t="shared" si="1"/>
        <v>0</v>
      </c>
      <c r="J347" s="47">
        <f t="shared" si="2"/>
        <v>0</v>
      </c>
    </row>
    <row r="348">
      <c r="A348" s="44" t="s">
        <v>598</v>
      </c>
      <c r="B348" s="45" t="s">
        <v>28</v>
      </c>
      <c r="C348" s="45" t="s">
        <v>17</v>
      </c>
      <c r="D348" s="45">
        <v>12.0</v>
      </c>
      <c r="E348" s="46">
        <f>if(ISNA(vlookup($A348, ESPN!$B$2:$E$281, 4, false)), 0, vlookup($A348, ESPN!$B$2:$E$281, 4, false))</f>
        <v>0</v>
      </c>
      <c r="F348" s="46">
        <f>if(ISNA(vlookup($A348, Scout.com!$B$2:$E$239, 4, false)), 0, vlookup($A348, Scout.com!$B$2:$E$239, 4, false))</f>
        <v>0</v>
      </c>
      <c r="G348" s="46">
        <f>if(ISNA(vlookup($A348, FantasyPro!$B$2:$E$318, 4, false)), 0, vlookup($A348, FantasyPro!$B$2:$E$318, 4, false))</f>
        <v>0</v>
      </c>
      <c r="H348" s="46">
        <f>if(ISNA(vlookup($A348, RotoWire!$B$2:$E$681, 4, false)), 0, vlookup($A348, RotoWire!$B$2:$E$681, 4, false))</f>
        <v>0</v>
      </c>
      <c r="I348" s="47">
        <f t="shared" si="1"/>
        <v>0</v>
      </c>
      <c r="J348" s="47">
        <f t="shared" si="2"/>
        <v>0</v>
      </c>
    </row>
    <row r="349">
      <c r="A349" s="44" t="s">
        <v>456</v>
      </c>
      <c r="B349" s="45" t="s">
        <v>75</v>
      </c>
      <c r="C349" s="45" t="s">
        <v>7</v>
      </c>
      <c r="D349" s="45">
        <v>7.0</v>
      </c>
      <c r="E349" s="46">
        <f>if(ISNA(vlookup($A349, ESPN!$B$2:$E$281, 4, false)), 0, vlookup($A349, ESPN!$B$2:$E$281, 4, false))</f>
        <v>0</v>
      </c>
      <c r="F349" s="46">
        <f>if(ISNA(vlookup($A349, Scout.com!$B$2:$E$239, 4, false)), 0, vlookup($A349, Scout.com!$B$2:$E$239, 4, false))</f>
        <v>0</v>
      </c>
      <c r="G349" s="46">
        <f>if(ISNA(vlookup($A349, FantasyPro!$B$2:$E$318, 4, false)), 0, vlookup($A349, FantasyPro!$B$2:$E$318, 4, false))</f>
        <v>0</v>
      </c>
      <c r="H349" s="46">
        <f>if(ISNA(vlookup($A349, RotoWire!$B$2:$E$681, 4, false)), 0, vlookup($A349, RotoWire!$B$2:$E$681, 4, false))</f>
        <v>0</v>
      </c>
      <c r="I349" s="47">
        <f t="shared" si="1"/>
        <v>0</v>
      </c>
      <c r="J349" s="47">
        <f t="shared" si="2"/>
        <v>0</v>
      </c>
    </row>
    <row r="350">
      <c r="A350" s="44" t="s">
        <v>577</v>
      </c>
      <c r="B350" s="45" t="s">
        <v>172</v>
      </c>
      <c r="C350" s="45" t="s">
        <v>7</v>
      </c>
      <c r="D350" s="49"/>
      <c r="E350" s="46">
        <f>if(ISNA(vlookup($A350, ESPN!$B$2:$E$281, 4, false)), 0, vlookup($A350, ESPN!$B$2:$E$281, 4, false))</f>
        <v>0</v>
      </c>
      <c r="F350" s="46">
        <f>if(ISNA(vlookup($A350, Scout.com!$B$2:$E$239, 4, false)), 0, vlookup($A350, Scout.com!$B$2:$E$239, 4, false))</f>
        <v>0</v>
      </c>
      <c r="G350" s="46">
        <f>if(ISNA(vlookup($A350, FantasyPro!$B$2:$E$318, 4, false)), 0, vlookup($A350, FantasyPro!$B$2:$E$318, 4, false))</f>
        <v>0</v>
      </c>
      <c r="H350" s="46">
        <f>if(ISNA(vlookup($A350, RotoWire!$B$2:$E$681, 4, false)), 0, vlookup($A350, RotoWire!$B$2:$E$681, 4, false))</f>
        <v>0</v>
      </c>
      <c r="I350" s="47">
        <f t="shared" si="1"/>
        <v>0</v>
      </c>
      <c r="J350" s="47">
        <f t="shared" si="2"/>
        <v>0</v>
      </c>
    </row>
    <row r="351">
      <c r="A351" s="44" t="s">
        <v>487</v>
      </c>
      <c r="B351" s="45" t="s">
        <v>28</v>
      </c>
      <c r="C351" s="45" t="s">
        <v>43</v>
      </c>
      <c r="D351" s="45">
        <v>12.0</v>
      </c>
      <c r="E351" s="46">
        <f>if(ISNA(vlookup($A351, ESPN!$B$2:$E$281, 4, false)), 0, vlookup($A351, ESPN!$B$2:$E$281, 4, false))</f>
        <v>0</v>
      </c>
      <c r="F351" s="46">
        <f>if(ISNA(vlookup($A351, Scout.com!$B$2:$E$239, 4, false)), 0, vlookup($A351, Scout.com!$B$2:$E$239, 4, false))</f>
        <v>0</v>
      </c>
      <c r="G351" s="46">
        <f>if(ISNA(vlookup($A351, FantasyPro!$B$2:$E$318, 4, false)), 0, vlookup($A351, FantasyPro!$B$2:$E$318, 4, false))</f>
        <v>0</v>
      </c>
      <c r="H351" s="46">
        <f>if(ISNA(vlookup($A351, RotoWire!$B$2:$E$681, 4, false)), 0, vlookup($A351, RotoWire!$B$2:$E$681, 4, false))</f>
        <v>0</v>
      </c>
      <c r="I351" s="47">
        <f t="shared" si="1"/>
        <v>0</v>
      </c>
      <c r="J351" s="47">
        <f t="shared" si="2"/>
        <v>0</v>
      </c>
    </row>
    <row r="352">
      <c r="A352" s="44" t="s">
        <v>627</v>
      </c>
      <c r="B352" s="45" t="s">
        <v>53</v>
      </c>
      <c r="C352" s="45" t="s">
        <v>17</v>
      </c>
      <c r="D352" s="45">
        <v>9.0</v>
      </c>
      <c r="E352" s="46">
        <f>if(ISNA(vlookup($A352, ESPN!$B$2:$E$281, 4, false)), 0, vlookup($A352, ESPN!$B$2:$E$281, 4, false))</f>
        <v>0</v>
      </c>
      <c r="F352" s="46">
        <f>if(ISNA(vlookup($A352, Scout.com!$B$2:$E$239, 4, false)), 0, vlookup($A352, Scout.com!$B$2:$E$239, 4, false))</f>
        <v>0</v>
      </c>
      <c r="G352" s="46">
        <f>if(ISNA(vlookup($A352, FantasyPro!$B$2:$E$318, 4, false)), 0, vlookup($A352, FantasyPro!$B$2:$E$318, 4, false))</f>
        <v>0</v>
      </c>
      <c r="H352" s="46">
        <f>if(ISNA(vlookup($A352, RotoWire!$B$2:$E$681, 4, false)), 0, vlookup($A352, RotoWire!$B$2:$E$681, 4, false))</f>
        <v>0</v>
      </c>
      <c r="I352" s="47">
        <f t="shared" si="1"/>
        <v>0</v>
      </c>
      <c r="J352" s="47">
        <f t="shared" si="2"/>
        <v>0</v>
      </c>
    </row>
    <row r="353">
      <c r="A353" s="44" t="s">
        <v>524</v>
      </c>
      <c r="B353" s="45" t="s">
        <v>83</v>
      </c>
      <c r="C353" s="45" t="s">
        <v>17</v>
      </c>
      <c r="D353" s="45">
        <v>8.0</v>
      </c>
      <c r="E353" s="46">
        <f>if(ISNA(vlookup($A353, ESPN!$B$2:$E$281, 4, false)), 0, vlookup($A353, ESPN!$B$2:$E$281, 4, false))</f>
        <v>0</v>
      </c>
      <c r="F353" s="46">
        <f>if(ISNA(vlookup($A353, Scout.com!$B$2:$E$239, 4, false)), 0, vlookup($A353, Scout.com!$B$2:$E$239, 4, false))</f>
        <v>0</v>
      </c>
      <c r="G353" s="46">
        <f>if(ISNA(vlookup($A353, FantasyPro!$B$2:$E$318, 4, false)), 0, vlookup($A353, FantasyPro!$B$2:$E$318, 4, false))</f>
        <v>0</v>
      </c>
      <c r="H353" s="46">
        <f>if(ISNA(vlookup($A353, RotoWire!$B$2:$E$681, 4, false)), 0, vlookup($A353, RotoWire!$B$2:$E$681, 4, false))</f>
        <v>0</v>
      </c>
      <c r="I353" s="47">
        <f t="shared" si="1"/>
        <v>0</v>
      </c>
      <c r="J353" s="47">
        <f t="shared" si="2"/>
        <v>0</v>
      </c>
    </row>
    <row r="354">
      <c r="A354" s="44" t="s">
        <v>498</v>
      </c>
      <c r="B354" s="45" t="s">
        <v>13</v>
      </c>
      <c r="C354" s="45" t="s">
        <v>17</v>
      </c>
      <c r="D354" s="45">
        <v>8.0</v>
      </c>
      <c r="E354" s="46">
        <f>if(ISNA(vlookup($A354, ESPN!$B$2:$E$281, 4, false)), 0, vlookup($A354, ESPN!$B$2:$E$281, 4, false))</f>
        <v>0</v>
      </c>
      <c r="F354" s="46">
        <f>if(ISNA(vlookup($A354, Scout.com!$B$2:$E$239, 4, false)), 0, vlookup($A354, Scout.com!$B$2:$E$239, 4, false))</f>
        <v>0</v>
      </c>
      <c r="G354" s="46">
        <f>if(ISNA(vlookup($A354, FantasyPro!$B$2:$E$318, 4, false)), 0, vlookup($A354, FantasyPro!$B$2:$E$318, 4, false))</f>
        <v>0</v>
      </c>
      <c r="H354" s="46">
        <f>if(ISNA(vlookup($A354, RotoWire!$B$2:$E$681, 4, false)), 0, vlookup($A354, RotoWire!$B$2:$E$681, 4, false))</f>
        <v>0</v>
      </c>
      <c r="I354" s="47">
        <f t="shared" si="1"/>
        <v>0</v>
      </c>
      <c r="J354" s="47">
        <f t="shared" si="2"/>
        <v>0</v>
      </c>
    </row>
    <row r="355">
      <c r="A355" s="44" t="s">
        <v>645</v>
      </c>
      <c r="B355" s="45" t="s">
        <v>172</v>
      </c>
      <c r="C355" s="45" t="s">
        <v>97</v>
      </c>
      <c r="D355" s="49"/>
      <c r="E355" s="46">
        <f>if(ISNA(vlookup($A355, ESPN!$B$2:$E$281, 4, false)), 0, vlookup($A355, ESPN!$B$2:$E$281, 4, false))</f>
        <v>0</v>
      </c>
      <c r="F355" s="46">
        <f>if(ISNA(vlookup($A355, Scout.com!$B$2:$E$239, 4, false)), 0, vlookup($A355, Scout.com!$B$2:$E$239, 4, false))</f>
        <v>0</v>
      </c>
      <c r="G355" s="46">
        <f>if(ISNA(vlookup($A355, FantasyPro!$B$2:$E$318, 4, false)), 0, vlookup($A355, FantasyPro!$B$2:$E$318, 4, false))</f>
        <v>0</v>
      </c>
      <c r="H355" s="46">
        <f>if(ISNA(vlookup($A355, RotoWire!$B$2:$E$681, 4, false)), 0, vlookup($A355, RotoWire!$B$2:$E$681, 4, false))</f>
        <v>0</v>
      </c>
      <c r="I355" s="47">
        <f t="shared" si="1"/>
        <v>0</v>
      </c>
      <c r="J355" s="47">
        <f t="shared" si="2"/>
        <v>0</v>
      </c>
    </row>
    <row r="356">
      <c r="A356" s="44" t="s">
        <v>609</v>
      </c>
      <c r="B356" s="45" t="s">
        <v>75</v>
      </c>
      <c r="C356" s="45" t="s">
        <v>43</v>
      </c>
      <c r="D356" s="45">
        <v>7.0</v>
      </c>
      <c r="E356" s="46">
        <f>if(ISNA(vlookup($A356, ESPN!$B$2:$E$281, 4, false)), 0, vlookup($A356, ESPN!$B$2:$E$281, 4, false))</f>
        <v>0</v>
      </c>
      <c r="F356" s="46">
        <f>if(ISNA(vlookup($A356, Scout.com!$B$2:$E$239, 4, false)), 0, vlookup($A356, Scout.com!$B$2:$E$239, 4, false))</f>
        <v>0</v>
      </c>
      <c r="G356" s="46">
        <f>if(ISNA(vlookup($A356, FantasyPro!$B$2:$E$318, 4, false)), 0, vlookup($A356, FantasyPro!$B$2:$E$318, 4, false))</f>
        <v>0</v>
      </c>
      <c r="H356" s="46">
        <f>if(ISNA(vlookup($A356, RotoWire!$B$2:$E$681, 4, false)), 0, vlookup($A356, RotoWire!$B$2:$E$681, 4, false))</f>
        <v>0</v>
      </c>
      <c r="I356" s="47">
        <f t="shared" si="1"/>
        <v>0</v>
      </c>
      <c r="J356" s="47">
        <f t="shared" si="2"/>
        <v>0</v>
      </c>
    </row>
    <row r="357">
      <c r="A357" s="44" t="s">
        <v>638</v>
      </c>
      <c r="B357" s="45" t="s">
        <v>47</v>
      </c>
      <c r="C357" s="45" t="s">
        <v>97</v>
      </c>
      <c r="D357" s="45">
        <v>7.0</v>
      </c>
      <c r="E357" s="46">
        <f>if(ISNA(vlookup($A357, ESPN!$B$2:$E$281, 4, false)), 0, vlookup($A357, ESPN!$B$2:$E$281, 4, false))</f>
        <v>0</v>
      </c>
      <c r="F357" s="46">
        <f>if(ISNA(vlookup($A357, Scout.com!$B$2:$E$239, 4, false)), 0, vlookup($A357, Scout.com!$B$2:$E$239, 4, false))</f>
        <v>0</v>
      </c>
      <c r="G357" s="46">
        <f>if(ISNA(vlookup($A357, FantasyPro!$B$2:$E$318, 4, false)), 0, vlookup($A357, FantasyPro!$B$2:$E$318, 4, false))</f>
        <v>0</v>
      </c>
      <c r="H357" s="46">
        <f>if(ISNA(vlookup($A357, RotoWire!$B$2:$E$681, 4, false)), 0, vlookup($A357, RotoWire!$B$2:$E$681, 4, false))</f>
        <v>0</v>
      </c>
      <c r="I357" s="47">
        <f t="shared" si="1"/>
        <v>0</v>
      </c>
      <c r="J357" s="47">
        <f t="shared" si="2"/>
        <v>0</v>
      </c>
    </row>
    <row r="358">
      <c r="A358" s="44" t="s">
        <v>342</v>
      </c>
      <c r="B358" s="45" t="s">
        <v>77</v>
      </c>
      <c r="C358" s="45" t="s">
        <v>199</v>
      </c>
      <c r="D358" s="45">
        <v>6.0</v>
      </c>
      <c r="E358" s="46">
        <f>if(ISNA(vlookup($A358, ESPN!$B$2:$E$281, 4, false)), 0, vlookup($A358, ESPN!$B$2:$E$281, 4, false))</f>
        <v>0</v>
      </c>
      <c r="F358" s="46">
        <f>if(ISNA(vlookup($A358, Scout.com!$B$2:$E$239, 4, false)), 0, vlookup($A358, Scout.com!$B$2:$E$239, 4, false))</f>
        <v>0</v>
      </c>
      <c r="G358" s="46">
        <f>if(ISNA(vlookup($A358, FantasyPro!$B$2:$E$318, 4, false)), 0, vlookup($A358, FantasyPro!$B$2:$E$318, 4, false))</f>
        <v>0</v>
      </c>
      <c r="H358" s="46">
        <f>if(ISNA(vlookup($A358, RotoWire!$B$2:$E$681, 4, false)), 0, vlookup($A358, RotoWire!$B$2:$E$681, 4, false))</f>
        <v>0</v>
      </c>
      <c r="I358" s="47">
        <f t="shared" si="1"/>
        <v>0</v>
      </c>
      <c r="J358" s="47">
        <f t="shared" si="2"/>
        <v>0</v>
      </c>
    </row>
    <row r="359">
      <c r="A359" s="44" t="s">
        <v>516</v>
      </c>
      <c r="B359" s="45" t="s">
        <v>47</v>
      </c>
      <c r="C359" s="45" t="s">
        <v>7</v>
      </c>
      <c r="D359" s="45">
        <v>7.0</v>
      </c>
      <c r="E359" s="46">
        <f>if(ISNA(vlookup($A359, ESPN!$B$2:$E$281, 4, false)), 0, vlookup($A359, ESPN!$B$2:$E$281, 4, false))</f>
        <v>0</v>
      </c>
      <c r="F359" s="46">
        <f>if(ISNA(vlookup($A359, Scout.com!$B$2:$E$239, 4, false)), 0, vlookup($A359, Scout.com!$B$2:$E$239, 4, false))</f>
        <v>0</v>
      </c>
      <c r="G359" s="46">
        <f>if(ISNA(vlookup($A359, FantasyPro!$B$2:$E$318, 4, false)), 0, vlookup($A359, FantasyPro!$B$2:$E$318, 4, false))</f>
        <v>0</v>
      </c>
      <c r="H359" s="46">
        <f>if(ISNA(vlookup($A359, RotoWire!$B$2:$E$681, 4, false)), 0, vlookup($A359, RotoWire!$B$2:$E$681, 4, false))</f>
        <v>0</v>
      </c>
      <c r="I359" s="47">
        <f t="shared" si="1"/>
        <v>0</v>
      </c>
      <c r="J359" s="47">
        <f t="shared" si="2"/>
        <v>0</v>
      </c>
    </row>
    <row r="360">
      <c r="A360" s="44" t="s">
        <v>586</v>
      </c>
      <c r="B360" s="45" t="s">
        <v>51</v>
      </c>
      <c r="C360" s="45" t="s">
        <v>43</v>
      </c>
      <c r="D360" s="45">
        <v>5.0</v>
      </c>
      <c r="E360" s="46">
        <f>if(ISNA(vlookup($A360, ESPN!$B$2:$E$281, 4, false)), 0, vlookup($A360, ESPN!$B$2:$E$281, 4, false))</f>
        <v>0</v>
      </c>
      <c r="F360" s="46">
        <f>if(ISNA(vlookup($A360, Scout.com!$B$2:$E$239, 4, false)), 0, vlookup($A360, Scout.com!$B$2:$E$239, 4, false))</f>
        <v>0</v>
      </c>
      <c r="G360" s="46">
        <f>if(ISNA(vlookup($A360, FantasyPro!$B$2:$E$318, 4, false)), 0, vlookup($A360, FantasyPro!$B$2:$E$318, 4, false))</f>
        <v>0</v>
      </c>
      <c r="H360" s="46">
        <f>if(ISNA(vlookup($A360, RotoWire!$B$2:$E$681, 4, false)), 0, vlookup($A360, RotoWire!$B$2:$E$681, 4, false))</f>
        <v>0</v>
      </c>
      <c r="I360" s="47">
        <f t="shared" si="1"/>
        <v>0</v>
      </c>
      <c r="J360" s="47">
        <f t="shared" si="2"/>
        <v>0</v>
      </c>
    </row>
    <row r="361">
      <c r="A361" s="44" t="s">
        <v>525</v>
      </c>
      <c r="B361" s="45" t="s">
        <v>60</v>
      </c>
      <c r="C361" s="45" t="s">
        <v>7</v>
      </c>
      <c r="D361" s="45">
        <v>9.0</v>
      </c>
      <c r="E361" s="46">
        <f>if(ISNA(vlookup($A361, ESPN!$B$2:$E$281, 4, false)), 0, vlookup($A361, ESPN!$B$2:$E$281, 4, false))</f>
        <v>0</v>
      </c>
      <c r="F361" s="46">
        <f>if(ISNA(vlookup($A361, Scout.com!$B$2:$E$239, 4, false)), 0, vlookup($A361, Scout.com!$B$2:$E$239, 4, false))</f>
        <v>0</v>
      </c>
      <c r="G361" s="46">
        <f>if(ISNA(vlookup($A361, FantasyPro!$B$2:$E$318, 4, false)), 0, vlookup($A361, FantasyPro!$B$2:$E$318, 4, false))</f>
        <v>0</v>
      </c>
      <c r="H361" s="46">
        <f>if(ISNA(vlookup($A361, RotoWire!$B$2:$E$681, 4, false)), 0, vlookup($A361, RotoWire!$B$2:$E$681, 4, false))</f>
        <v>0</v>
      </c>
      <c r="I361" s="47">
        <f t="shared" si="1"/>
        <v>0</v>
      </c>
      <c r="J361" s="47">
        <f t="shared" si="2"/>
        <v>0</v>
      </c>
    </row>
    <row r="362">
      <c r="A362" s="44" t="s">
        <v>475</v>
      </c>
      <c r="B362" s="45" t="s">
        <v>172</v>
      </c>
      <c r="C362" s="45" t="s">
        <v>17</v>
      </c>
      <c r="D362" s="49"/>
      <c r="E362" s="46">
        <f>if(ISNA(vlookup($A362, ESPN!$B$2:$E$281, 4, false)), 0, vlookup($A362, ESPN!$B$2:$E$281, 4, false))</f>
        <v>0</v>
      </c>
      <c r="F362" s="46">
        <f>if(ISNA(vlookup($A362, Scout.com!$B$2:$E$239, 4, false)), 0, vlookup($A362, Scout.com!$B$2:$E$239, 4, false))</f>
        <v>0</v>
      </c>
      <c r="G362" s="46">
        <f>if(ISNA(vlookup($A362, FantasyPro!$B$2:$E$318, 4, false)), 0, vlookup($A362, FantasyPro!$B$2:$E$318, 4, false))</f>
        <v>0</v>
      </c>
      <c r="H362" s="46">
        <f>if(ISNA(vlookup($A362, RotoWire!$B$2:$E$681, 4, false)), 0, vlookup($A362, RotoWire!$B$2:$E$681, 4, false))</f>
        <v>0</v>
      </c>
      <c r="I362" s="47">
        <f t="shared" si="1"/>
        <v>0</v>
      </c>
      <c r="J362" s="47">
        <f t="shared" si="2"/>
        <v>0</v>
      </c>
    </row>
    <row r="363">
      <c r="A363" s="44" t="s">
        <v>635</v>
      </c>
      <c r="B363" s="45" t="s">
        <v>67</v>
      </c>
      <c r="C363" s="45" t="s">
        <v>97</v>
      </c>
      <c r="D363" s="45">
        <v>11.0</v>
      </c>
      <c r="E363" s="46">
        <f>if(ISNA(vlookup($A363, ESPN!$B$2:$E$281, 4, false)), 0, vlookup($A363, ESPN!$B$2:$E$281, 4, false))</f>
        <v>0</v>
      </c>
      <c r="F363" s="46">
        <f>if(ISNA(vlookup($A363, Scout.com!$B$2:$E$239, 4, false)), 0, vlookup($A363, Scout.com!$B$2:$E$239, 4, false))</f>
        <v>0</v>
      </c>
      <c r="G363" s="46">
        <f>if(ISNA(vlookup($A363, FantasyPro!$B$2:$E$318, 4, false)), 0, vlookup($A363, FantasyPro!$B$2:$E$318, 4, false))</f>
        <v>0</v>
      </c>
      <c r="H363" s="46">
        <f>if(ISNA(vlookup($A363, RotoWire!$B$2:$E$681, 4, false)), 0, vlookup($A363, RotoWire!$B$2:$E$681, 4, false))</f>
        <v>0</v>
      </c>
      <c r="I363" s="47">
        <f t="shared" si="1"/>
        <v>0</v>
      </c>
      <c r="J363" s="47">
        <f t="shared" si="2"/>
        <v>0</v>
      </c>
    </row>
    <row r="364">
      <c r="A364" s="44" t="s">
        <v>624</v>
      </c>
      <c r="B364" s="45" t="s">
        <v>45</v>
      </c>
      <c r="C364" s="45" t="s">
        <v>43</v>
      </c>
      <c r="D364" s="45">
        <v>11.0</v>
      </c>
      <c r="E364" s="46">
        <f>if(ISNA(vlookup($A364, ESPN!$B$2:$E$281, 4, false)), 0, vlookup($A364, ESPN!$B$2:$E$281, 4, false))</f>
        <v>0</v>
      </c>
      <c r="F364" s="46">
        <f>if(ISNA(vlookup($A364, Scout.com!$B$2:$E$239, 4, false)), 0, vlookup($A364, Scout.com!$B$2:$E$239, 4, false))</f>
        <v>0</v>
      </c>
      <c r="G364" s="46">
        <f>if(ISNA(vlookup($A364, FantasyPro!$B$2:$E$318, 4, false)), 0, vlookup($A364, FantasyPro!$B$2:$E$318, 4, false))</f>
        <v>0</v>
      </c>
      <c r="H364" s="46">
        <f>if(ISNA(vlookup($A364, RotoWire!$B$2:$E$681, 4, false)), 0, vlookup($A364, RotoWire!$B$2:$E$681, 4, false))</f>
        <v>0</v>
      </c>
      <c r="I364" s="47">
        <f t="shared" si="1"/>
        <v>0</v>
      </c>
      <c r="J364" s="47">
        <f t="shared" si="2"/>
        <v>0</v>
      </c>
    </row>
    <row r="365">
      <c r="A365" s="44" t="s">
        <v>399</v>
      </c>
      <c r="B365" s="45" t="s">
        <v>123</v>
      </c>
      <c r="C365" s="45" t="s">
        <v>219</v>
      </c>
      <c r="D365" s="45">
        <v>4.0</v>
      </c>
      <c r="E365" s="46">
        <f>if(ISNA(vlookup($A365, ESPN!$B$2:$E$281, 4, false)), 0, vlookup($A365, ESPN!$B$2:$E$281, 4, false))</f>
        <v>0</v>
      </c>
      <c r="F365" s="46">
        <f>if(ISNA(vlookup($A365, Scout.com!$B$2:$E$239, 4, false)), 0, vlookup($A365, Scout.com!$B$2:$E$239, 4, false))</f>
        <v>0</v>
      </c>
      <c r="G365" s="46">
        <f>if(ISNA(vlookup($A365, FantasyPro!$B$2:$E$318, 4, false)), 0, vlookup($A365, FantasyPro!$B$2:$E$318, 4, false))</f>
        <v>0</v>
      </c>
      <c r="H365" s="46">
        <f>if(ISNA(vlookup($A365, RotoWire!$B$2:$E$681, 4, false)), 0, vlookup($A365, RotoWire!$B$2:$E$681, 4, false))</f>
        <v>0</v>
      </c>
      <c r="I365" s="47">
        <f t="shared" si="1"/>
        <v>0</v>
      </c>
      <c r="J365" s="47">
        <f t="shared" si="2"/>
        <v>0</v>
      </c>
    </row>
    <row r="366">
      <c r="A366" s="44" t="s">
        <v>538</v>
      </c>
      <c r="B366" s="45" t="s">
        <v>15</v>
      </c>
      <c r="C366" s="45" t="s">
        <v>43</v>
      </c>
      <c r="D366" s="45">
        <v>11.0</v>
      </c>
      <c r="E366" s="46">
        <f>if(ISNA(vlookup($A366, ESPN!$B$2:$E$281, 4, false)), 0, vlookup($A366, ESPN!$B$2:$E$281, 4, false))</f>
        <v>0</v>
      </c>
      <c r="F366" s="46">
        <f>if(ISNA(vlookup($A366, Scout.com!$B$2:$E$239, 4, false)), 0, vlookup($A366, Scout.com!$B$2:$E$239, 4, false))</f>
        <v>0</v>
      </c>
      <c r="G366" s="46">
        <f>if(ISNA(vlookup($A366, FantasyPro!$B$2:$E$318, 4, false)), 0, vlookup($A366, FantasyPro!$B$2:$E$318, 4, false))</f>
        <v>0</v>
      </c>
      <c r="H366" s="46">
        <f>if(ISNA(vlookup($A366, RotoWire!$B$2:$E$681, 4, false)), 0, vlookup($A366, RotoWire!$B$2:$E$681, 4, false))</f>
        <v>0</v>
      </c>
      <c r="I366" s="47">
        <f t="shared" si="1"/>
        <v>0</v>
      </c>
      <c r="J366" s="47">
        <f t="shared" si="2"/>
        <v>0</v>
      </c>
    </row>
    <row r="367">
      <c r="A367" s="44" t="s">
        <v>542</v>
      </c>
      <c r="B367" s="45" t="s">
        <v>77</v>
      </c>
      <c r="C367" s="45" t="s">
        <v>7</v>
      </c>
      <c r="D367" s="45">
        <v>6.0</v>
      </c>
      <c r="E367" s="46">
        <f>if(ISNA(vlookup($A367, ESPN!$B$2:$E$281, 4, false)), 0, vlookup($A367, ESPN!$B$2:$E$281, 4, false))</f>
        <v>0</v>
      </c>
      <c r="F367" s="46">
        <f>if(ISNA(vlookup($A367, Scout.com!$B$2:$E$239, 4, false)), 0, vlookup($A367, Scout.com!$B$2:$E$239, 4, false))</f>
        <v>0</v>
      </c>
      <c r="G367" s="46">
        <f>if(ISNA(vlookup($A367, FantasyPro!$B$2:$E$318, 4, false)), 0, vlookup($A367, FantasyPro!$B$2:$E$318, 4, false))</f>
        <v>0</v>
      </c>
      <c r="H367" s="46">
        <f>if(ISNA(vlookup($A367, RotoWire!$B$2:$E$681, 4, false)), 0, vlookup($A367, RotoWire!$B$2:$E$681, 4, false))</f>
        <v>0</v>
      </c>
      <c r="I367" s="47">
        <f t="shared" si="1"/>
        <v>0</v>
      </c>
      <c r="J367" s="47">
        <f t="shared" si="2"/>
        <v>0</v>
      </c>
    </row>
    <row r="368">
      <c r="A368" s="44" t="s">
        <v>613</v>
      </c>
      <c r="B368" s="45" t="s">
        <v>34</v>
      </c>
      <c r="C368" s="45" t="s">
        <v>17</v>
      </c>
      <c r="D368" s="45">
        <v>8.0</v>
      </c>
      <c r="E368" s="46">
        <f>if(ISNA(vlookup($A368, ESPN!$B$2:$E$281, 4, false)), 0, vlookup($A368, ESPN!$B$2:$E$281, 4, false))</f>
        <v>0</v>
      </c>
      <c r="F368" s="46">
        <f>if(ISNA(vlookup($A368, Scout.com!$B$2:$E$239, 4, false)), 0, vlookup($A368, Scout.com!$B$2:$E$239, 4, false))</f>
        <v>0</v>
      </c>
      <c r="G368" s="46">
        <f>if(ISNA(vlookup($A368, FantasyPro!$B$2:$E$318, 4, false)), 0, vlookup($A368, FantasyPro!$B$2:$E$318, 4, false))</f>
        <v>0</v>
      </c>
      <c r="H368" s="46">
        <f>if(ISNA(vlookup($A368, RotoWire!$B$2:$E$681, 4, false)), 0, vlookup($A368, RotoWire!$B$2:$E$681, 4, false))</f>
        <v>0</v>
      </c>
      <c r="I368" s="47">
        <f t="shared" si="1"/>
        <v>0</v>
      </c>
      <c r="J368" s="47">
        <f t="shared" si="2"/>
        <v>0</v>
      </c>
    </row>
    <row r="369">
      <c r="A369" s="44" t="s">
        <v>468</v>
      </c>
      <c r="B369" s="45" t="s">
        <v>65</v>
      </c>
      <c r="C369" s="45" t="s">
        <v>43</v>
      </c>
      <c r="D369" s="45">
        <v>7.0</v>
      </c>
      <c r="E369" s="46">
        <f>if(ISNA(vlookup($A369, ESPN!$B$2:$E$281, 4, false)), 0, vlookup($A369, ESPN!$B$2:$E$281, 4, false))</f>
        <v>0</v>
      </c>
      <c r="F369" s="46">
        <f>if(ISNA(vlookup($A369, Scout.com!$B$2:$E$239, 4, false)), 0, vlookup($A369, Scout.com!$B$2:$E$239, 4, false))</f>
        <v>0</v>
      </c>
      <c r="G369" s="46">
        <f>if(ISNA(vlookup($A369, FantasyPro!$B$2:$E$318, 4, false)), 0, vlookup($A369, FantasyPro!$B$2:$E$318, 4, false))</f>
        <v>0</v>
      </c>
      <c r="H369" s="46">
        <f>if(ISNA(vlookup($A369, RotoWire!$B$2:$E$681, 4, false)), 0, vlookup($A369, RotoWire!$B$2:$E$681, 4, false))</f>
        <v>0</v>
      </c>
      <c r="I369" s="47">
        <f t="shared" si="1"/>
        <v>0</v>
      </c>
      <c r="J369" s="47">
        <f t="shared" si="2"/>
        <v>0</v>
      </c>
    </row>
    <row r="370">
      <c r="A370" s="44" t="s">
        <v>532</v>
      </c>
      <c r="B370" s="45" t="s">
        <v>172</v>
      </c>
      <c r="C370" s="45" t="s">
        <v>7</v>
      </c>
      <c r="D370" s="49"/>
      <c r="E370" s="46">
        <f>if(ISNA(vlookup($A370, ESPN!$B$2:$E$281, 4, false)), 0, vlookup($A370, ESPN!$B$2:$E$281, 4, false))</f>
        <v>0</v>
      </c>
      <c r="F370" s="46">
        <f>if(ISNA(vlookup($A370, Scout.com!$B$2:$E$239, 4, false)), 0, vlookup($A370, Scout.com!$B$2:$E$239, 4, false))</f>
        <v>0</v>
      </c>
      <c r="G370" s="46">
        <f>if(ISNA(vlookup($A370, FantasyPro!$B$2:$E$318, 4, false)), 0, vlookup($A370, FantasyPro!$B$2:$E$318, 4, false))</f>
        <v>0</v>
      </c>
      <c r="H370" s="46">
        <f>if(ISNA(vlookup($A370, RotoWire!$B$2:$E$681, 4, false)), 0, vlookup($A370, RotoWire!$B$2:$E$681, 4, false))</f>
        <v>0</v>
      </c>
      <c r="I370" s="47">
        <f t="shared" si="1"/>
        <v>0</v>
      </c>
      <c r="J370" s="47">
        <f t="shared" si="2"/>
        <v>0</v>
      </c>
    </row>
    <row r="371">
      <c r="A371" s="44" t="s">
        <v>646</v>
      </c>
      <c r="B371" s="45" t="s">
        <v>75</v>
      </c>
      <c r="C371" s="45" t="s">
        <v>97</v>
      </c>
      <c r="D371" s="45">
        <v>7.0</v>
      </c>
      <c r="E371" s="46">
        <f>if(ISNA(vlookup($A371, ESPN!$B$2:$E$281, 4, false)), 0, vlookup($A371, ESPN!$B$2:$E$281, 4, false))</f>
        <v>0</v>
      </c>
      <c r="F371" s="46">
        <f>if(ISNA(vlookup($A371, Scout.com!$B$2:$E$239, 4, false)), 0, vlookup($A371, Scout.com!$B$2:$E$239, 4, false))</f>
        <v>0</v>
      </c>
      <c r="G371" s="46">
        <f>if(ISNA(vlookup($A371, FantasyPro!$B$2:$E$318, 4, false)), 0, vlookup($A371, FantasyPro!$B$2:$E$318, 4, false))</f>
        <v>0</v>
      </c>
      <c r="H371" s="46">
        <f>if(ISNA(vlookup($A371, RotoWire!$B$2:$E$681, 4, false)), 0, vlookup($A371, RotoWire!$B$2:$E$681, 4, false))</f>
        <v>0</v>
      </c>
      <c r="I371" s="47">
        <f t="shared" si="1"/>
        <v>0</v>
      </c>
      <c r="J371" s="47">
        <f t="shared" si="2"/>
        <v>0</v>
      </c>
    </row>
    <row r="372">
      <c r="A372" s="44" t="s">
        <v>286</v>
      </c>
      <c r="B372" s="45" t="s">
        <v>19</v>
      </c>
      <c r="C372" s="45" t="s">
        <v>97</v>
      </c>
      <c r="D372" s="45">
        <v>9.0</v>
      </c>
      <c r="E372" s="46">
        <f>if(ISNA(vlookup($A372, ESPN!$B$2:$E$281, 4, false)), 0, vlookup($A372, ESPN!$B$2:$E$281, 4, false))</f>
        <v>0</v>
      </c>
      <c r="F372" s="46">
        <f>if(ISNA(vlookup($A372, Scout.com!$B$2:$E$239, 4, false)), 0, vlookup($A372, Scout.com!$B$2:$E$239, 4, false))</f>
        <v>0</v>
      </c>
      <c r="G372" s="46">
        <f>if(ISNA(vlookup($A372, FantasyPro!$B$2:$E$318, 4, false)), 0, vlookup($A372, FantasyPro!$B$2:$E$318, 4, false))</f>
        <v>0</v>
      </c>
      <c r="H372" s="46">
        <f>if(ISNA(vlookup($A372, RotoWire!$B$2:$E$681, 4, false)), 0, vlookup($A372, RotoWire!$B$2:$E$681, 4, false))</f>
        <v>0</v>
      </c>
      <c r="I372" s="47">
        <f t="shared" si="1"/>
        <v>0</v>
      </c>
      <c r="J372" s="47">
        <f t="shared" si="2"/>
        <v>0</v>
      </c>
    </row>
    <row r="373">
      <c r="A373" s="44" t="s">
        <v>472</v>
      </c>
      <c r="B373" s="45" t="s">
        <v>6</v>
      </c>
      <c r="C373" s="45" t="s">
        <v>17</v>
      </c>
      <c r="D373" s="45">
        <v>7.0</v>
      </c>
      <c r="E373" s="46">
        <f>if(ISNA(vlookup($A373, ESPN!$B$2:$E$281, 4, false)), 0, vlookup($A373, ESPN!$B$2:$E$281, 4, false))</f>
        <v>0</v>
      </c>
      <c r="F373" s="46">
        <f>if(ISNA(vlookup($A373, Scout.com!$B$2:$E$239, 4, false)), 0, vlookup($A373, Scout.com!$B$2:$E$239, 4, false))</f>
        <v>0</v>
      </c>
      <c r="G373" s="46">
        <f>if(ISNA(vlookup($A373, FantasyPro!$B$2:$E$318, 4, false)), 0, vlookup($A373, FantasyPro!$B$2:$E$318, 4, false))</f>
        <v>0</v>
      </c>
      <c r="H373" s="46">
        <f>if(ISNA(vlookup($A373, RotoWire!$B$2:$E$681, 4, false)), 0, vlookup($A373, RotoWire!$B$2:$E$681, 4, false))</f>
        <v>0</v>
      </c>
      <c r="I373" s="47">
        <f t="shared" si="1"/>
        <v>0</v>
      </c>
      <c r="J373" s="47">
        <f t="shared" si="2"/>
        <v>0</v>
      </c>
    </row>
    <row r="374">
      <c r="A374" s="44" t="s">
        <v>249</v>
      </c>
      <c r="B374" s="45" t="s">
        <v>95</v>
      </c>
      <c r="C374" s="45" t="s">
        <v>7</v>
      </c>
      <c r="D374" s="45">
        <v>11.0</v>
      </c>
      <c r="E374" s="46">
        <f>if(ISNA(vlookup($A374, ESPN!$B$2:$E$281, 4, false)), 0, vlookup($A374, ESPN!$B$2:$E$281, 4, false))</f>
        <v>0</v>
      </c>
      <c r="F374" s="46">
        <f>if(ISNA(vlookup($A374, Scout.com!$B$2:$E$239, 4, false)), 0, vlookup($A374, Scout.com!$B$2:$E$239, 4, false))</f>
        <v>0</v>
      </c>
      <c r="G374" s="46">
        <f>if(ISNA(vlookup($A374, FantasyPro!$B$2:$E$318, 4, false)), 0, vlookup($A374, FantasyPro!$B$2:$E$318, 4, false))</f>
        <v>0</v>
      </c>
      <c r="H374" s="46">
        <f>if(ISNA(vlookup($A374, RotoWire!$B$2:$E$681, 4, false)), 0, vlookup($A374, RotoWire!$B$2:$E$681, 4, false))</f>
        <v>0</v>
      </c>
      <c r="I374" s="47">
        <f t="shared" si="1"/>
        <v>0</v>
      </c>
      <c r="J374" s="47">
        <f t="shared" si="2"/>
        <v>0</v>
      </c>
    </row>
    <row r="375">
      <c r="A375" s="44" t="s">
        <v>428</v>
      </c>
      <c r="B375" s="45" t="s">
        <v>47</v>
      </c>
      <c r="C375" s="45" t="s">
        <v>17</v>
      </c>
      <c r="D375" s="45">
        <v>7.0</v>
      </c>
      <c r="E375" s="46">
        <f>if(ISNA(vlookup($A375, ESPN!$B$2:$E$281, 4, false)), 0, vlookup($A375, ESPN!$B$2:$E$281, 4, false))</f>
        <v>0</v>
      </c>
      <c r="F375" s="46">
        <f>if(ISNA(vlookup($A375, Scout.com!$B$2:$E$239, 4, false)), 0, vlookup($A375, Scout.com!$B$2:$E$239, 4, false))</f>
        <v>0</v>
      </c>
      <c r="G375" s="46">
        <f>if(ISNA(vlookup($A375, FantasyPro!$B$2:$E$318, 4, false)), 0, vlookup($A375, FantasyPro!$B$2:$E$318, 4, false))</f>
        <v>0</v>
      </c>
      <c r="H375" s="46">
        <f>if(ISNA(vlookup($A375, RotoWire!$B$2:$E$681, 4, false)), 0, vlookup($A375, RotoWire!$B$2:$E$681, 4, false))</f>
        <v>0</v>
      </c>
      <c r="I375" s="47">
        <f t="shared" si="1"/>
        <v>0</v>
      </c>
      <c r="J375" s="47">
        <f t="shared" si="2"/>
        <v>0</v>
      </c>
    </row>
    <row r="376">
      <c r="A376" s="44" t="s">
        <v>188</v>
      </c>
      <c r="B376" s="45" t="s">
        <v>15</v>
      </c>
      <c r="C376" s="45" t="s">
        <v>17</v>
      </c>
      <c r="D376" s="45">
        <v>11.0</v>
      </c>
      <c r="E376" s="46">
        <f>if(ISNA(vlookup($A376, ESPN!$B$2:$E$281, 4, false)), 0, vlookup($A376, ESPN!$B$2:$E$281, 4, false))</f>
        <v>0</v>
      </c>
      <c r="F376" s="46">
        <f>if(ISNA(vlookup($A376, Scout.com!$B$2:$E$239, 4, false)), 0, vlookup($A376, Scout.com!$B$2:$E$239, 4, false))</f>
        <v>0</v>
      </c>
      <c r="G376" s="46">
        <f>if(ISNA(vlookup($A376, FantasyPro!$B$2:$E$318, 4, false)), 0, vlookup($A376, FantasyPro!$B$2:$E$318, 4, false))</f>
        <v>0</v>
      </c>
      <c r="H376" s="46">
        <f>if(ISNA(vlookup($A376, RotoWire!$B$2:$E$681, 4, false)), 0, vlookup($A376, RotoWire!$B$2:$E$681, 4, false))</f>
        <v>0</v>
      </c>
      <c r="I376" s="47">
        <f t="shared" si="1"/>
        <v>0</v>
      </c>
      <c r="J376" s="47">
        <f t="shared" si="2"/>
        <v>0</v>
      </c>
    </row>
    <row r="377">
      <c r="A377" s="44" t="s">
        <v>601</v>
      </c>
      <c r="B377" s="45" t="s">
        <v>95</v>
      </c>
      <c r="C377" s="45" t="s">
        <v>43</v>
      </c>
      <c r="D377" s="45">
        <v>11.0</v>
      </c>
      <c r="E377" s="46">
        <f>if(ISNA(vlookup($A377, ESPN!$B$2:$E$281, 4, false)), 0, vlookup($A377, ESPN!$B$2:$E$281, 4, false))</f>
        <v>0</v>
      </c>
      <c r="F377" s="46">
        <f>if(ISNA(vlookup($A377, Scout.com!$B$2:$E$239, 4, false)), 0, vlookup($A377, Scout.com!$B$2:$E$239, 4, false))</f>
        <v>0</v>
      </c>
      <c r="G377" s="46">
        <f>if(ISNA(vlookup($A377, FantasyPro!$B$2:$E$318, 4, false)), 0, vlookup($A377, FantasyPro!$B$2:$E$318, 4, false))</f>
        <v>0</v>
      </c>
      <c r="H377" s="46">
        <f>if(ISNA(vlookup($A377, RotoWire!$B$2:$E$681, 4, false)), 0, vlookup($A377, RotoWire!$B$2:$E$681, 4, false))</f>
        <v>0</v>
      </c>
      <c r="I377" s="47">
        <f t="shared" si="1"/>
        <v>0</v>
      </c>
      <c r="J377" s="47">
        <f t="shared" si="2"/>
        <v>0</v>
      </c>
    </row>
    <row r="378">
      <c r="A378" s="44" t="s">
        <v>529</v>
      </c>
      <c r="B378" s="45" t="s">
        <v>53</v>
      </c>
      <c r="C378" s="45" t="s">
        <v>43</v>
      </c>
      <c r="D378" s="45">
        <v>9.0</v>
      </c>
      <c r="E378" s="46">
        <f>if(ISNA(vlookup($A378, ESPN!$B$2:$E$281, 4, false)), 0, vlookup($A378, ESPN!$B$2:$E$281, 4, false))</f>
        <v>0</v>
      </c>
      <c r="F378" s="46">
        <f>if(ISNA(vlookup($A378, Scout.com!$B$2:$E$239, 4, false)), 0, vlookup($A378, Scout.com!$B$2:$E$239, 4, false))</f>
        <v>0</v>
      </c>
      <c r="G378" s="46">
        <f>if(ISNA(vlookup($A378, FantasyPro!$B$2:$E$318, 4, false)), 0, vlookup($A378, FantasyPro!$B$2:$E$318, 4, false))</f>
        <v>0</v>
      </c>
      <c r="H378" s="46">
        <f>if(ISNA(vlookup($A378, RotoWire!$B$2:$E$681, 4, false)), 0, vlookup($A378, RotoWire!$B$2:$E$681, 4, false))</f>
        <v>0</v>
      </c>
      <c r="I378" s="47">
        <f t="shared" si="1"/>
        <v>0</v>
      </c>
      <c r="J378" s="47">
        <f t="shared" si="2"/>
        <v>0</v>
      </c>
    </row>
    <row r="379">
      <c r="A379" s="44" t="s">
        <v>543</v>
      </c>
      <c r="B379" s="45" t="s">
        <v>6</v>
      </c>
      <c r="C379" s="45" t="s">
        <v>7</v>
      </c>
      <c r="D379" s="45">
        <v>7.0</v>
      </c>
      <c r="E379" s="46">
        <f>if(ISNA(vlookup($A379, ESPN!$B$2:$E$281, 4, false)), 0, vlookup($A379, ESPN!$B$2:$E$281, 4, false))</f>
        <v>0</v>
      </c>
      <c r="F379" s="46">
        <f>if(ISNA(vlookup($A379, Scout.com!$B$2:$E$239, 4, false)), 0, vlookup($A379, Scout.com!$B$2:$E$239, 4, false))</f>
        <v>0</v>
      </c>
      <c r="G379" s="46">
        <f>if(ISNA(vlookup($A379, FantasyPro!$B$2:$E$318, 4, false)), 0, vlookup($A379, FantasyPro!$B$2:$E$318, 4, false))</f>
        <v>0</v>
      </c>
      <c r="H379" s="46">
        <f>if(ISNA(vlookup($A379, RotoWire!$B$2:$E$681, 4, false)), 0, vlookup($A379, RotoWire!$B$2:$E$681, 4, false))</f>
        <v>0</v>
      </c>
      <c r="I379" s="47">
        <f t="shared" si="1"/>
        <v>0</v>
      </c>
      <c r="J379" s="47">
        <f t="shared" si="2"/>
        <v>0</v>
      </c>
    </row>
    <row r="380">
      <c r="A380" s="44" t="s">
        <v>578</v>
      </c>
      <c r="B380" s="45" t="s">
        <v>41</v>
      </c>
      <c r="C380" s="45" t="s">
        <v>7</v>
      </c>
      <c r="D380" s="45">
        <v>4.0</v>
      </c>
      <c r="E380" s="46">
        <f>if(ISNA(vlookup($A380, ESPN!$B$2:$E$281, 4, false)), 0, vlookup($A380, ESPN!$B$2:$E$281, 4, false))</f>
        <v>0</v>
      </c>
      <c r="F380" s="46">
        <f>if(ISNA(vlookup($A380, Scout.com!$B$2:$E$239, 4, false)), 0, vlookup($A380, Scout.com!$B$2:$E$239, 4, false))</f>
        <v>0</v>
      </c>
      <c r="G380" s="46">
        <f>if(ISNA(vlookup($A380, FantasyPro!$B$2:$E$318, 4, false)), 0, vlookup($A380, FantasyPro!$B$2:$E$318, 4, false))</f>
        <v>0</v>
      </c>
      <c r="H380" s="46">
        <f>if(ISNA(vlookup($A380, RotoWire!$B$2:$E$681, 4, false)), 0, vlookup($A380, RotoWire!$B$2:$E$681, 4, false))</f>
        <v>0</v>
      </c>
      <c r="I380" s="47">
        <f t="shared" si="1"/>
        <v>0</v>
      </c>
      <c r="J380" s="47">
        <f t="shared" si="2"/>
        <v>0</v>
      </c>
    </row>
    <row r="381">
      <c r="A381" s="44" t="s">
        <v>440</v>
      </c>
      <c r="B381" s="45" t="s">
        <v>72</v>
      </c>
      <c r="C381" s="45" t="s">
        <v>43</v>
      </c>
      <c r="D381" s="45">
        <v>11.0</v>
      </c>
      <c r="E381" s="46">
        <f>if(ISNA(vlookup($A381, ESPN!$B$2:$E$281, 4, false)), 0, vlookup($A381, ESPN!$B$2:$E$281, 4, false))</f>
        <v>0</v>
      </c>
      <c r="F381" s="46">
        <f>if(ISNA(vlookup($A381, Scout.com!$B$2:$E$239, 4, false)), 0, vlookup($A381, Scout.com!$B$2:$E$239, 4, false))</f>
        <v>0</v>
      </c>
      <c r="G381" s="46">
        <f>if(ISNA(vlookup($A381, FantasyPro!$B$2:$E$318, 4, false)), 0, vlookup($A381, FantasyPro!$B$2:$E$318, 4, false))</f>
        <v>0</v>
      </c>
      <c r="H381" s="46">
        <f>if(ISNA(vlookup($A381, RotoWire!$B$2:$E$681, 4, false)), 0, vlookup($A381, RotoWire!$B$2:$E$681, 4, false))</f>
        <v>0</v>
      </c>
      <c r="I381" s="47">
        <f t="shared" si="1"/>
        <v>0</v>
      </c>
      <c r="J381" s="47">
        <f t="shared" si="2"/>
        <v>0</v>
      </c>
    </row>
    <row r="382">
      <c r="A382" s="44" t="s">
        <v>653</v>
      </c>
      <c r="B382" s="45" t="s">
        <v>34</v>
      </c>
      <c r="C382" s="45" t="s">
        <v>97</v>
      </c>
      <c r="D382" s="45">
        <v>8.0</v>
      </c>
      <c r="E382" s="46">
        <f>if(ISNA(vlookup($A382, ESPN!$B$2:$E$281, 4, false)), 0, vlookup($A382, ESPN!$B$2:$E$281, 4, false))</f>
        <v>0</v>
      </c>
      <c r="F382" s="46">
        <f>if(ISNA(vlookup($A382, Scout.com!$B$2:$E$239, 4, false)), 0, vlookup($A382, Scout.com!$B$2:$E$239, 4, false))</f>
        <v>0</v>
      </c>
      <c r="G382" s="46">
        <f>if(ISNA(vlookup($A382, FantasyPro!$B$2:$E$318, 4, false)), 0, vlookup($A382, FantasyPro!$B$2:$E$318, 4, false))</f>
        <v>0</v>
      </c>
      <c r="H382" s="46">
        <f>if(ISNA(vlookup($A382, RotoWire!$B$2:$E$681, 4, false)), 0, vlookup($A382, RotoWire!$B$2:$E$681, 4, false))</f>
        <v>0</v>
      </c>
      <c r="I382" s="47">
        <f t="shared" si="1"/>
        <v>0</v>
      </c>
      <c r="J382" s="47">
        <f t="shared" si="2"/>
        <v>0</v>
      </c>
    </row>
    <row r="383">
      <c r="A383" s="44" t="s">
        <v>297</v>
      </c>
      <c r="B383" s="45" t="s">
        <v>9</v>
      </c>
      <c r="C383" s="45" t="s">
        <v>43</v>
      </c>
      <c r="D383" s="45">
        <v>12.0</v>
      </c>
      <c r="E383" s="46">
        <f>if(ISNA(vlookup($A383, ESPN!$B$2:$E$281, 4, false)), 0, vlookup($A383, ESPN!$B$2:$E$281, 4, false))</f>
        <v>0</v>
      </c>
      <c r="F383" s="46">
        <f>if(ISNA(vlookup($A383, Scout.com!$B$2:$E$239, 4, false)), 0, vlookup($A383, Scout.com!$B$2:$E$239, 4, false))</f>
        <v>0</v>
      </c>
      <c r="G383" s="46">
        <f>if(ISNA(vlookup($A383, FantasyPro!$B$2:$E$318, 4, false)), 0, vlookup($A383, FantasyPro!$B$2:$E$318, 4, false))</f>
        <v>0</v>
      </c>
      <c r="H383" s="46">
        <f>if(ISNA(vlookup($A383, RotoWire!$B$2:$E$681, 4, false)), 0, vlookup($A383, RotoWire!$B$2:$E$681, 4, false))</f>
        <v>0</v>
      </c>
      <c r="I383" s="47">
        <f t="shared" si="1"/>
        <v>0</v>
      </c>
      <c r="J383" s="47">
        <f t="shared" si="2"/>
        <v>0</v>
      </c>
    </row>
    <row r="384">
      <c r="A384" s="44" t="s">
        <v>376</v>
      </c>
      <c r="B384" s="45" t="s">
        <v>47</v>
      </c>
      <c r="C384" s="45" t="s">
        <v>17</v>
      </c>
      <c r="D384" s="45">
        <v>7.0</v>
      </c>
      <c r="E384" s="46">
        <f>if(ISNA(vlookup($A384, ESPN!$B$2:$E$281, 4, false)), 0, vlookup($A384, ESPN!$B$2:$E$281, 4, false))</f>
        <v>0</v>
      </c>
      <c r="F384" s="46">
        <f>if(ISNA(vlookup($A384, Scout.com!$B$2:$E$239, 4, false)), 0, vlookup($A384, Scout.com!$B$2:$E$239, 4, false))</f>
        <v>0</v>
      </c>
      <c r="G384" s="46">
        <f>if(ISNA(vlookup($A384, FantasyPro!$B$2:$E$318, 4, false)), 0, vlookup($A384, FantasyPro!$B$2:$E$318, 4, false))</f>
        <v>0</v>
      </c>
      <c r="H384" s="46">
        <f>if(ISNA(vlookup($A384, RotoWire!$B$2:$E$681, 4, false)), 0, vlookup($A384, RotoWire!$B$2:$E$681, 4, false))</f>
        <v>0</v>
      </c>
      <c r="I384" s="47">
        <f t="shared" si="1"/>
        <v>0</v>
      </c>
      <c r="J384" s="47">
        <f t="shared" si="2"/>
        <v>0</v>
      </c>
    </row>
    <row r="385">
      <c r="A385" s="44" t="s">
        <v>408</v>
      </c>
      <c r="B385" s="45" t="s">
        <v>172</v>
      </c>
      <c r="C385" s="45" t="s">
        <v>219</v>
      </c>
      <c r="D385" s="49"/>
      <c r="E385" s="46">
        <f>if(ISNA(vlookup($A385, ESPN!$B$2:$E$281, 4, false)), 0, vlookup($A385, ESPN!$B$2:$E$281, 4, false))</f>
        <v>0</v>
      </c>
      <c r="F385" s="46">
        <f>if(ISNA(vlookup($A385, Scout.com!$B$2:$E$239, 4, false)), 0, vlookup($A385, Scout.com!$B$2:$E$239, 4, false))</f>
        <v>0</v>
      </c>
      <c r="G385" s="46">
        <f>if(ISNA(vlookup($A385, FantasyPro!$B$2:$E$318, 4, false)), 0, vlookup($A385, FantasyPro!$B$2:$E$318, 4, false))</f>
        <v>0</v>
      </c>
      <c r="H385" s="46">
        <f>if(ISNA(vlookup($A385, RotoWire!$B$2:$E$681, 4, false)), 0, vlookup($A385, RotoWire!$B$2:$E$681, 4, false))</f>
        <v>0</v>
      </c>
      <c r="I385" s="47">
        <f t="shared" si="1"/>
        <v>0</v>
      </c>
      <c r="J385" s="47">
        <f t="shared" si="2"/>
        <v>0</v>
      </c>
    </row>
    <row r="386">
      <c r="A386" s="44" t="s">
        <v>298</v>
      </c>
      <c r="B386" s="45" t="s">
        <v>88</v>
      </c>
      <c r="C386" s="45" t="s">
        <v>43</v>
      </c>
      <c r="D386" s="45">
        <v>10.0</v>
      </c>
      <c r="E386" s="46">
        <f>if(ISNA(vlookup($A386, ESPN!$B$2:$E$281, 4, false)), 0, vlookup($A386, ESPN!$B$2:$E$281, 4, false))</f>
        <v>0</v>
      </c>
      <c r="F386" s="46">
        <f>if(ISNA(vlookup($A386, Scout.com!$B$2:$E$239, 4, false)), 0, vlookup($A386, Scout.com!$B$2:$E$239, 4, false))</f>
        <v>0</v>
      </c>
      <c r="G386" s="46">
        <f>if(ISNA(vlookup($A386, FantasyPro!$B$2:$E$318, 4, false)), 0, vlookup($A386, FantasyPro!$B$2:$E$318, 4, false))</f>
        <v>0</v>
      </c>
      <c r="H386" s="46">
        <f>if(ISNA(vlookup($A386, RotoWire!$B$2:$E$681, 4, false)), 0, vlookup($A386, RotoWire!$B$2:$E$681, 4, false))</f>
        <v>0</v>
      </c>
      <c r="I386" s="47">
        <f t="shared" si="1"/>
        <v>0</v>
      </c>
      <c r="J386" s="47">
        <f t="shared" si="2"/>
        <v>0</v>
      </c>
    </row>
    <row r="387">
      <c r="A387" s="44" t="s">
        <v>595</v>
      </c>
      <c r="B387" s="45" t="s">
        <v>41</v>
      </c>
      <c r="C387" s="45" t="s">
        <v>43</v>
      </c>
      <c r="D387" s="45">
        <v>4.0</v>
      </c>
      <c r="E387" s="46">
        <f>if(ISNA(vlookup($A387, ESPN!$B$2:$E$281, 4, false)), 0, vlookup($A387, ESPN!$B$2:$E$281, 4, false))</f>
        <v>0</v>
      </c>
      <c r="F387" s="46">
        <f>if(ISNA(vlookup($A387, Scout.com!$B$2:$E$239, 4, false)), 0, vlookup($A387, Scout.com!$B$2:$E$239, 4, false))</f>
        <v>0</v>
      </c>
      <c r="G387" s="46">
        <f>if(ISNA(vlookup($A387, FantasyPro!$B$2:$E$318, 4, false)), 0, vlookup($A387, FantasyPro!$B$2:$E$318, 4, false))</f>
        <v>0</v>
      </c>
      <c r="H387" s="46">
        <f>if(ISNA(vlookup($A387, RotoWire!$B$2:$E$681, 4, false)), 0, vlookup($A387, RotoWire!$B$2:$E$681, 4, false))</f>
        <v>0</v>
      </c>
      <c r="I387" s="47">
        <f t="shared" si="1"/>
        <v>0</v>
      </c>
      <c r="J387" s="47">
        <f t="shared" si="2"/>
        <v>0</v>
      </c>
    </row>
    <row r="388">
      <c r="A388" s="44" t="s">
        <v>354</v>
      </c>
      <c r="B388" s="45" t="s">
        <v>53</v>
      </c>
      <c r="C388" s="45" t="s">
        <v>199</v>
      </c>
      <c r="D388" s="45">
        <v>9.0</v>
      </c>
      <c r="E388" s="46">
        <f>if(ISNA(vlookup($A388, ESPN!$B$2:$E$281, 4, false)), 0, vlookup($A388, ESPN!$B$2:$E$281, 4, false))</f>
        <v>0</v>
      </c>
      <c r="F388" s="46">
        <f>if(ISNA(vlookup($A388, Scout.com!$B$2:$E$239, 4, false)), 0, vlookup($A388, Scout.com!$B$2:$E$239, 4, false))</f>
        <v>0</v>
      </c>
      <c r="G388" s="46">
        <f>if(ISNA(vlookup($A388, FantasyPro!$B$2:$E$318, 4, false)), 0, vlookup($A388, FantasyPro!$B$2:$E$318, 4, false))</f>
        <v>0</v>
      </c>
      <c r="H388" s="46">
        <f>if(ISNA(vlookup($A388, RotoWire!$B$2:$E$681, 4, false)), 0, vlookup($A388, RotoWire!$B$2:$E$681, 4, false))</f>
        <v>0</v>
      </c>
      <c r="I388" s="47">
        <f t="shared" si="1"/>
        <v>0</v>
      </c>
      <c r="J388" s="47">
        <f t="shared" si="2"/>
        <v>0</v>
      </c>
    </row>
    <row r="389">
      <c r="A389" s="44" t="s">
        <v>568</v>
      </c>
      <c r="B389" s="45" t="s">
        <v>63</v>
      </c>
      <c r="C389" s="45" t="s">
        <v>17</v>
      </c>
      <c r="D389" s="45">
        <v>10.0</v>
      </c>
      <c r="E389" s="46">
        <f>if(ISNA(vlookup($A389, ESPN!$B$2:$E$281, 4, false)), 0, vlookup($A389, ESPN!$B$2:$E$281, 4, false))</f>
        <v>0</v>
      </c>
      <c r="F389" s="46">
        <f>if(ISNA(vlookup($A389, Scout.com!$B$2:$E$239, 4, false)), 0, vlookup($A389, Scout.com!$B$2:$E$239, 4, false))</f>
        <v>0</v>
      </c>
      <c r="G389" s="46">
        <f>if(ISNA(vlookup($A389, FantasyPro!$B$2:$E$318, 4, false)), 0, vlookup($A389, FantasyPro!$B$2:$E$318, 4, false))</f>
        <v>0</v>
      </c>
      <c r="H389" s="46">
        <f>if(ISNA(vlookup($A389, RotoWire!$B$2:$E$681, 4, false)), 0, vlookup($A389, RotoWire!$B$2:$E$681, 4, false))</f>
        <v>0</v>
      </c>
      <c r="I389" s="47">
        <f t="shared" si="1"/>
        <v>0</v>
      </c>
      <c r="J389" s="47">
        <f t="shared" si="2"/>
        <v>0</v>
      </c>
    </row>
    <row r="390">
      <c r="A390" s="44" t="s">
        <v>426</v>
      </c>
      <c r="B390" s="45" t="s">
        <v>23</v>
      </c>
      <c r="C390" s="45" t="s">
        <v>7</v>
      </c>
      <c r="D390" s="45">
        <v>8.0</v>
      </c>
      <c r="E390" s="46">
        <f>if(ISNA(vlookup($A390, ESPN!$B$2:$E$281, 4, false)), 0, vlookup($A390, ESPN!$B$2:$E$281, 4, false))</f>
        <v>0</v>
      </c>
      <c r="F390" s="46">
        <f>if(ISNA(vlookup($A390, Scout.com!$B$2:$E$239, 4, false)), 0, vlookup($A390, Scout.com!$B$2:$E$239, 4, false))</f>
        <v>0</v>
      </c>
      <c r="G390" s="46">
        <f>if(ISNA(vlookup($A390, FantasyPro!$B$2:$E$318, 4, false)), 0, vlookup($A390, FantasyPro!$B$2:$E$318, 4, false))</f>
        <v>0</v>
      </c>
      <c r="H390" s="46">
        <f>if(ISNA(vlookup($A390, RotoWire!$B$2:$E$681, 4, false)), 0, vlookup($A390, RotoWire!$B$2:$E$681, 4, false))</f>
        <v>0</v>
      </c>
      <c r="I390" s="47">
        <f t="shared" si="1"/>
        <v>0</v>
      </c>
      <c r="J390" s="47">
        <f t="shared" si="2"/>
        <v>0</v>
      </c>
    </row>
    <row r="391">
      <c r="A391" s="44" t="s">
        <v>450</v>
      </c>
      <c r="B391" s="45" t="s">
        <v>65</v>
      </c>
      <c r="C391" s="45" t="s">
        <v>7</v>
      </c>
      <c r="D391" s="45">
        <v>7.0</v>
      </c>
      <c r="E391" s="46">
        <f>if(ISNA(vlookup($A391, ESPN!$B$2:$E$281, 4, false)), 0, vlookup($A391, ESPN!$B$2:$E$281, 4, false))</f>
        <v>0</v>
      </c>
      <c r="F391" s="46">
        <f>if(ISNA(vlookup($A391, Scout.com!$B$2:$E$239, 4, false)), 0, vlookup($A391, Scout.com!$B$2:$E$239, 4, false))</f>
        <v>0</v>
      </c>
      <c r="G391" s="46">
        <f>if(ISNA(vlookup($A391, FantasyPro!$B$2:$E$318, 4, false)), 0, vlookup($A391, FantasyPro!$B$2:$E$318, 4, false))</f>
        <v>0</v>
      </c>
      <c r="H391" s="46">
        <f>if(ISNA(vlookup($A391, RotoWire!$B$2:$E$681, 4, false)), 0, vlookup($A391, RotoWire!$B$2:$E$681, 4, false))</f>
        <v>0</v>
      </c>
      <c r="I391" s="47">
        <f t="shared" si="1"/>
        <v>0</v>
      </c>
      <c r="J391" s="47">
        <f t="shared" si="2"/>
        <v>0</v>
      </c>
    </row>
    <row r="392">
      <c r="A392" s="44" t="s">
        <v>379</v>
      </c>
      <c r="B392" s="45" t="s">
        <v>11</v>
      </c>
      <c r="C392" s="45" t="s">
        <v>17</v>
      </c>
      <c r="D392" s="45">
        <v>9.0</v>
      </c>
      <c r="E392" s="46">
        <f>if(ISNA(vlookup($A392, ESPN!$B$2:$E$281, 4, false)), 0, vlookup($A392, ESPN!$B$2:$E$281, 4, false))</f>
        <v>0</v>
      </c>
      <c r="F392" s="46">
        <f>if(ISNA(vlookup($A392, Scout.com!$B$2:$E$239, 4, false)), 0, vlookup($A392, Scout.com!$B$2:$E$239, 4, false))</f>
        <v>0</v>
      </c>
      <c r="G392" s="46">
        <f>if(ISNA(vlookup($A392, FantasyPro!$B$2:$E$318, 4, false)), 0, vlookup($A392, FantasyPro!$B$2:$E$318, 4, false))</f>
        <v>0</v>
      </c>
      <c r="H392" s="46">
        <f>if(ISNA(vlookup($A392, RotoWire!$B$2:$E$681, 4, false)), 0, vlookup($A392, RotoWire!$B$2:$E$681, 4, false))</f>
        <v>0</v>
      </c>
      <c r="I392" s="47">
        <f t="shared" si="1"/>
        <v>0</v>
      </c>
      <c r="J392" s="47">
        <f t="shared" si="2"/>
        <v>0</v>
      </c>
    </row>
    <row r="393">
      <c r="A393" s="44" t="s">
        <v>681</v>
      </c>
      <c r="B393" s="45" t="s">
        <v>21</v>
      </c>
      <c r="C393" s="45" t="s">
        <v>97</v>
      </c>
      <c r="D393" s="45">
        <v>6.0</v>
      </c>
      <c r="E393" s="46">
        <f>if(ISNA(vlookup($A393, ESPN!$B$2:$E$281, 4, false)), 0, vlookup($A393, ESPN!$B$2:$E$281, 4, false))</f>
        <v>0</v>
      </c>
      <c r="F393" s="46">
        <f>if(ISNA(vlookup($A393, Scout.com!$B$2:$E$239, 4, false)), 0, vlookup($A393, Scout.com!$B$2:$E$239, 4, false))</f>
        <v>0</v>
      </c>
      <c r="G393" s="46">
        <f>if(ISNA(vlookup($A393, FantasyPro!$B$2:$E$318, 4, false)), 0, vlookup($A393, FantasyPro!$B$2:$E$318, 4, false))</f>
        <v>0</v>
      </c>
      <c r="H393" s="46">
        <f>if(ISNA(vlookup($A393, RotoWire!$B$2:$E$681, 4, false)), 0, vlookup($A393, RotoWire!$B$2:$E$681, 4, false))</f>
        <v>0</v>
      </c>
      <c r="I393" s="47">
        <f t="shared" si="1"/>
        <v>0</v>
      </c>
      <c r="J393" s="47">
        <f t="shared" si="2"/>
        <v>0</v>
      </c>
    </row>
    <row r="394">
      <c r="A394" s="44" t="s">
        <v>521</v>
      </c>
      <c r="B394" s="45" t="s">
        <v>47</v>
      </c>
      <c r="C394" s="45" t="s">
        <v>17</v>
      </c>
      <c r="D394" s="45">
        <v>7.0</v>
      </c>
      <c r="E394" s="46">
        <f>if(ISNA(vlookup($A394, ESPN!$B$2:$E$281, 4, false)), 0, vlookup($A394, ESPN!$B$2:$E$281, 4, false))</f>
        <v>0</v>
      </c>
      <c r="F394" s="46">
        <f>if(ISNA(vlookup($A394, Scout.com!$B$2:$E$239, 4, false)), 0, vlookup($A394, Scout.com!$B$2:$E$239, 4, false))</f>
        <v>0</v>
      </c>
      <c r="G394" s="46">
        <f>if(ISNA(vlookup($A394, FantasyPro!$B$2:$E$318, 4, false)), 0, vlookup($A394, FantasyPro!$B$2:$E$318, 4, false))</f>
        <v>0</v>
      </c>
      <c r="H394" s="46">
        <f>if(ISNA(vlookup($A394, RotoWire!$B$2:$E$681, 4, false)), 0, vlookup($A394, RotoWire!$B$2:$E$681, 4, false))</f>
        <v>0</v>
      </c>
      <c r="I394" s="47">
        <f t="shared" si="1"/>
        <v>0</v>
      </c>
      <c r="J394" s="47">
        <f t="shared" si="2"/>
        <v>0</v>
      </c>
    </row>
    <row r="395">
      <c r="A395" s="44" t="s">
        <v>323</v>
      </c>
      <c r="B395" s="45" t="s">
        <v>53</v>
      </c>
      <c r="C395" s="45" t="s">
        <v>97</v>
      </c>
      <c r="D395" s="45">
        <v>9.0</v>
      </c>
      <c r="E395" s="46">
        <f>if(ISNA(vlookup($A395, ESPN!$B$2:$E$281, 4, false)), 0, vlookup($A395, ESPN!$B$2:$E$281, 4, false))</f>
        <v>0</v>
      </c>
      <c r="F395" s="46">
        <f>if(ISNA(vlookup($A395, Scout.com!$B$2:$E$239, 4, false)), 0, vlookup($A395, Scout.com!$B$2:$E$239, 4, false))</f>
        <v>0</v>
      </c>
      <c r="G395" s="46">
        <f>if(ISNA(vlookup($A395, FantasyPro!$B$2:$E$318, 4, false)), 0, vlookup($A395, FantasyPro!$B$2:$E$318, 4, false))</f>
        <v>0</v>
      </c>
      <c r="H395" s="46">
        <f>if(ISNA(vlookup($A395, RotoWire!$B$2:$E$681, 4, false)), 0, vlookup($A395, RotoWire!$B$2:$E$681, 4, false))</f>
        <v>0</v>
      </c>
      <c r="I395" s="47">
        <f t="shared" si="1"/>
        <v>0</v>
      </c>
      <c r="J395" s="47">
        <f t="shared" si="2"/>
        <v>0</v>
      </c>
    </row>
    <row r="396">
      <c r="A396" s="44" t="s">
        <v>431</v>
      </c>
      <c r="B396" s="45" t="s">
        <v>49</v>
      </c>
      <c r="C396" s="45" t="s">
        <v>7</v>
      </c>
      <c r="D396" s="45">
        <v>5.0</v>
      </c>
      <c r="E396" s="46">
        <f>if(ISNA(vlookup($A396, ESPN!$B$2:$E$281, 4, false)), 0, vlookup($A396, ESPN!$B$2:$E$281, 4, false))</f>
        <v>0</v>
      </c>
      <c r="F396" s="46">
        <f>if(ISNA(vlookup($A396, Scout.com!$B$2:$E$239, 4, false)), 0, vlookup($A396, Scout.com!$B$2:$E$239, 4, false))</f>
        <v>0</v>
      </c>
      <c r="G396" s="46">
        <f>if(ISNA(vlookup($A396, FantasyPro!$B$2:$E$318, 4, false)), 0, vlookup($A396, FantasyPro!$B$2:$E$318, 4, false))</f>
        <v>0</v>
      </c>
      <c r="H396" s="46">
        <f>if(ISNA(vlookup($A396, RotoWire!$B$2:$E$681, 4, false)), 0, vlookup($A396, RotoWire!$B$2:$E$681, 4, false))</f>
        <v>0</v>
      </c>
      <c r="I396" s="47">
        <f t="shared" si="1"/>
        <v>0</v>
      </c>
      <c r="J396" s="47">
        <f t="shared" si="2"/>
        <v>0</v>
      </c>
    </row>
    <row r="397">
      <c r="A397" s="44" t="s">
        <v>629</v>
      </c>
      <c r="B397" s="45" t="s">
        <v>88</v>
      </c>
      <c r="C397" s="45" t="s">
        <v>17</v>
      </c>
      <c r="D397" s="45">
        <v>10.0</v>
      </c>
      <c r="E397" s="46">
        <f>if(ISNA(vlookup($A397, ESPN!$B$2:$E$281, 4, false)), 0, vlookup($A397, ESPN!$B$2:$E$281, 4, false))</f>
        <v>0</v>
      </c>
      <c r="F397" s="46">
        <f>if(ISNA(vlookup($A397, Scout.com!$B$2:$E$239, 4, false)), 0, vlookup($A397, Scout.com!$B$2:$E$239, 4, false))</f>
        <v>0</v>
      </c>
      <c r="G397" s="46">
        <f>if(ISNA(vlookup($A397, FantasyPro!$B$2:$E$318, 4, false)), 0, vlookup($A397, FantasyPro!$B$2:$E$318, 4, false))</f>
        <v>0</v>
      </c>
      <c r="H397" s="46">
        <f>if(ISNA(vlookup($A397, RotoWire!$B$2:$E$681, 4, false)), 0, vlookup($A397, RotoWire!$B$2:$E$681, 4, false))</f>
        <v>0</v>
      </c>
      <c r="I397" s="47">
        <f t="shared" si="1"/>
        <v>0</v>
      </c>
      <c r="J397" s="47">
        <f t="shared" si="2"/>
        <v>0</v>
      </c>
    </row>
    <row r="398">
      <c r="A398" s="44" t="s">
        <v>309</v>
      </c>
      <c r="B398" s="45" t="s">
        <v>63</v>
      </c>
      <c r="C398" s="45" t="s">
        <v>43</v>
      </c>
      <c r="D398" s="45">
        <v>10.0</v>
      </c>
      <c r="E398" s="46">
        <f>if(ISNA(vlookup($A398, ESPN!$B$2:$E$281, 4, false)), 0, vlookup($A398, ESPN!$B$2:$E$281, 4, false))</f>
        <v>0</v>
      </c>
      <c r="F398" s="46">
        <f>if(ISNA(vlookup($A398, Scout.com!$B$2:$E$239, 4, false)), 0, vlookup($A398, Scout.com!$B$2:$E$239, 4, false))</f>
        <v>0</v>
      </c>
      <c r="G398" s="46">
        <f>if(ISNA(vlookup($A398, FantasyPro!$B$2:$E$318, 4, false)), 0, vlookup($A398, FantasyPro!$B$2:$E$318, 4, false))</f>
        <v>0</v>
      </c>
      <c r="H398" s="46">
        <f>if(ISNA(vlookup($A398, RotoWire!$B$2:$E$681, 4, false)), 0, vlookup($A398, RotoWire!$B$2:$E$681, 4, false))</f>
        <v>0</v>
      </c>
      <c r="I398" s="47">
        <f t="shared" si="1"/>
        <v>0</v>
      </c>
      <c r="J398" s="47">
        <f t="shared" si="2"/>
        <v>0</v>
      </c>
    </row>
    <row r="399">
      <c r="A399" s="44" t="s">
        <v>506</v>
      </c>
      <c r="B399" s="45" t="s">
        <v>47</v>
      </c>
      <c r="C399" s="45" t="s">
        <v>17</v>
      </c>
      <c r="D399" s="45">
        <v>7.0</v>
      </c>
      <c r="E399" s="46">
        <f>if(ISNA(vlookup($A399, ESPN!$B$2:$E$281, 4, false)), 0, vlookup($A399, ESPN!$B$2:$E$281, 4, false))</f>
        <v>0</v>
      </c>
      <c r="F399" s="46">
        <f>if(ISNA(vlookup($A399, Scout.com!$B$2:$E$239, 4, false)), 0, vlookup($A399, Scout.com!$B$2:$E$239, 4, false))</f>
        <v>0</v>
      </c>
      <c r="G399" s="46">
        <f>if(ISNA(vlookup($A399, FantasyPro!$B$2:$E$318, 4, false)), 0, vlookup($A399, FantasyPro!$B$2:$E$318, 4, false))</f>
        <v>0</v>
      </c>
      <c r="H399" s="46">
        <f>if(ISNA(vlookup($A399, RotoWire!$B$2:$E$681, 4, false)), 0, vlookup($A399, RotoWire!$B$2:$E$681, 4, false))</f>
        <v>0</v>
      </c>
      <c r="I399" s="47">
        <f t="shared" si="1"/>
        <v>0</v>
      </c>
      <c r="J399" s="47">
        <f t="shared" si="2"/>
        <v>0</v>
      </c>
    </row>
    <row r="400">
      <c r="A400" s="44" t="s">
        <v>662</v>
      </c>
      <c r="B400" s="45" t="s">
        <v>77</v>
      </c>
      <c r="C400" s="45" t="s">
        <v>97</v>
      </c>
      <c r="D400" s="45">
        <v>6.0</v>
      </c>
      <c r="E400" s="46">
        <f>if(ISNA(vlookup($A400, ESPN!$B$2:$E$281, 4, false)), 0, vlookup($A400, ESPN!$B$2:$E$281, 4, false))</f>
        <v>0</v>
      </c>
      <c r="F400" s="46">
        <f>if(ISNA(vlookup($A400, Scout.com!$B$2:$E$239, 4, false)), 0, vlookup($A400, Scout.com!$B$2:$E$239, 4, false))</f>
        <v>0</v>
      </c>
      <c r="G400" s="46">
        <f>if(ISNA(vlookup($A400, FantasyPro!$B$2:$E$318, 4, false)), 0, vlookup($A400, FantasyPro!$B$2:$E$318, 4, false))</f>
        <v>0</v>
      </c>
      <c r="H400" s="46">
        <f>if(ISNA(vlookup($A400, RotoWire!$B$2:$E$681, 4, false)), 0, vlookup($A400, RotoWire!$B$2:$E$681, 4, false))</f>
        <v>0</v>
      </c>
      <c r="I400" s="47">
        <f t="shared" si="1"/>
        <v>0</v>
      </c>
      <c r="J400" s="47">
        <f t="shared" si="2"/>
        <v>0</v>
      </c>
    </row>
    <row r="401">
      <c r="A401" s="44" t="s">
        <v>432</v>
      </c>
      <c r="B401" s="45" t="s">
        <v>45</v>
      </c>
      <c r="C401" s="45" t="s">
        <v>17</v>
      </c>
      <c r="D401" s="45">
        <v>11.0</v>
      </c>
      <c r="E401" s="46">
        <f>if(ISNA(vlookup($A401, ESPN!$B$2:$E$281, 4, false)), 0, vlookup($A401, ESPN!$B$2:$E$281, 4, false))</f>
        <v>0</v>
      </c>
      <c r="F401" s="46">
        <f>if(ISNA(vlookup($A401, Scout.com!$B$2:$E$239, 4, false)), 0, vlookup($A401, Scout.com!$B$2:$E$239, 4, false))</f>
        <v>0</v>
      </c>
      <c r="G401" s="46">
        <f>if(ISNA(vlookup($A401, FantasyPro!$B$2:$E$318, 4, false)), 0, vlookup($A401, FantasyPro!$B$2:$E$318, 4, false))</f>
        <v>0</v>
      </c>
      <c r="H401" s="46">
        <f>if(ISNA(vlookup($A401, RotoWire!$B$2:$E$681, 4, false)), 0, vlookup($A401, RotoWire!$B$2:$E$681, 4, false))</f>
        <v>0</v>
      </c>
      <c r="I401" s="47">
        <f t="shared" si="1"/>
        <v>0</v>
      </c>
      <c r="J401" s="47">
        <f t="shared" si="2"/>
        <v>0</v>
      </c>
    </row>
    <row r="402">
      <c r="A402" s="44" t="s">
        <v>569</v>
      </c>
      <c r="B402" s="45" t="s">
        <v>88</v>
      </c>
      <c r="C402" s="45" t="s">
        <v>17</v>
      </c>
      <c r="D402" s="45">
        <v>10.0</v>
      </c>
      <c r="E402" s="46">
        <f>if(ISNA(vlookup($A402, ESPN!$B$2:$E$281, 4, false)), 0, vlookup($A402, ESPN!$B$2:$E$281, 4, false))</f>
        <v>0</v>
      </c>
      <c r="F402" s="46">
        <f>if(ISNA(vlookup($A402, Scout.com!$B$2:$E$239, 4, false)), 0, vlookup($A402, Scout.com!$B$2:$E$239, 4, false))</f>
        <v>0</v>
      </c>
      <c r="G402" s="46">
        <f>if(ISNA(vlookup($A402, FantasyPro!$B$2:$E$318, 4, false)), 0, vlookup($A402, FantasyPro!$B$2:$E$318, 4, false))</f>
        <v>0</v>
      </c>
      <c r="H402" s="46">
        <f>if(ISNA(vlookup($A402, RotoWire!$B$2:$E$681, 4, false)), 0, vlookup($A402, RotoWire!$B$2:$E$681, 4, false))</f>
        <v>0</v>
      </c>
      <c r="I402" s="47">
        <f t="shared" si="1"/>
        <v>0</v>
      </c>
      <c r="J402" s="47">
        <f t="shared" si="2"/>
        <v>0</v>
      </c>
    </row>
    <row r="403">
      <c r="A403" s="44" t="s">
        <v>359</v>
      </c>
      <c r="B403" s="45" t="s">
        <v>75</v>
      </c>
      <c r="C403" s="45" t="s">
        <v>7</v>
      </c>
      <c r="D403" s="45">
        <v>7.0</v>
      </c>
      <c r="E403" s="46">
        <f>if(ISNA(vlookup($A403, ESPN!$B$2:$E$281, 4, false)), 0, vlookup($A403, ESPN!$B$2:$E$281, 4, false))</f>
        <v>0</v>
      </c>
      <c r="F403" s="46">
        <f>if(ISNA(vlookup($A403, Scout.com!$B$2:$E$239, 4, false)), 0, vlookup($A403, Scout.com!$B$2:$E$239, 4, false))</f>
        <v>0</v>
      </c>
      <c r="G403" s="46">
        <f>if(ISNA(vlookup($A403, FantasyPro!$B$2:$E$318, 4, false)), 0, vlookup($A403, FantasyPro!$B$2:$E$318, 4, false))</f>
        <v>0</v>
      </c>
      <c r="H403" s="46">
        <f>if(ISNA(vlookup($A403, RotoWire!$B$2:$E$681, 4, false)), 0, vlookup($A403, RotoWire!$B$2:$E$681, 4, false))</f>
        <v>0</v>
      </c>
      <c r="I403" s="47">
        <f t="shared" si="1"/>
        <v>0</v>
      </c>
      <c r="J403" s="47">
        <f t="shared" si="2"/>
        <v>0</v>
      </c>
    </row>
    <row r="404">
      <c r="A404" s="44" t="s">
        <v>531</v>
      </c>
      <c r="B404" s="45" t="s">
        <v>172</v>
      </c>
      <c r="C404" s="45" t="s">
        <v>7</v>
      </c>
      <c r="D404" s="49"/>
      <c r="E404" s="46">
        <f>if(ISNA(vlookup($A404, ESPN!$B$2:$E$281, 4, false)), 0, vlookup($A404, ESPN!$B$2:$E$281, 4, false))</f>
        <v>0</v>
      </c>
      <c r="F404" s="46">
        <f>if(ISNA(vlookup($A404, Scout.com!$B$2:$E$239, 4, false)), 0, vlookup($A404, Scout.com!$B$2:$E$239, 4, false))</f>
        <v>0</v>
      </c>
      <c r="G404" s="46">
        <f>if(ISNA(vlookup($A404, FantasyPro!$B$2:$E$318, 4, false)), 0, vlookup($A404, FantasyPro!$B$2:$E$318, 4, false))</f>
        <v>0</v>
      </c>
      <c r="H404" s="46">
        <f>if(ISNA(vlookup($A404, RotoWire!$B$2:$E$681, 4, false)), 0, vlookup($A404, RotoWire!$B$2:$E$681, 4, false))</f>
        <v>0</v>
      </c>
      <c r="I404" s="47">
        <f t="shared" si="1"/>
        <v>0</v>
      </c>
      <c r="J404" s="47">
        <f t="shared" si="2"/>
        <v>0</v>
      </c>
    </row>
    <row r="405">
      <c r="A405" s="44" t="s">
        <v>300</v>
      </c>
      <c r="B405" s="45" t="s">
        <v>6</v>
      </c>
      <c r="C405" s="45" t="s">
        <v>7</v>
      </c>
      <c r="D405" s="45">
        <v>7.0</v>
      </c>
      <c r="E405" s="46">
        <f>if(ISNA(vlookup($A405, ESPN!$B$2:$E$281, 4, false)), 0, vlookup($A405, ESPN!$B$2:$E$281, 4, false))</f>
        <v>0</v>
      </c>
      <c r="F405" s="46">
        <f>if(ISNA(vlookup($A405, Scout.com!$B$2:$E$239, 4, false)), 0, vlookup($A405, Scout.com!$B$2:$E$239, 4, false))</f>
        <v>0</v>
      </c>
      <c r="G405" s="46">
        <f>if(ISNA(vlookup($A405, FantasyPro!$B$2:$E$318, 4, false)), 0, vlookup($A405, FantasyPro!$B$2:$E$318, 4, false))</f>
        <v>0</v>
      </c>
      <c r="H405" s="46">
        <f>if(ISNA(vlookup($A405, RotoWire!$B$2:$E$681, 4, false)), 0, vlookup($A405, RotoWire!$B$2:$E$681, 4, false))</f>
        <v>0</v>
      </c>
      <c r="I405" s="47">
        <f t="shared" si="1"/>
        <v>0</v>
      </c>
      <c r="J405" s="47">
        <f t="shared" si="2"/>
        <v>0</v>
      </c>
    </row>
    <row r="406">
      <c r="A406" s="44" t="s">
        <v>593</v>
      </c>
      <c r="B406" s="48" t="s">
        <v>30</v>
      </c>
      <c r="C406" s="45" t="s">
        <v>43</v>
      </c>
      <c r="D406" s="45">
        <v>9.0</v>
      </c>
      <c r="E406" s="46">
        <f>if(ISNA(vlookup($A406, ESPN!$B$2:$E$281, 4, false)), 0, vlookup($A406, ESPN!$B$2:$E$281, 4, false))</f>
        <v>0</v>
      </c>
      <c r="F406" s="46">
        <f>if(ISNA(vlookup($A406, Scout.com!$B$2:$E$239, 4, false)), 0, vlookup($A406, Scout.com!$B$2:$E$239, 4, false))</f>
        <v>0</v>
      </c>
      <c r="G406" s="46">
        <f>if(ISNA(vlookup($A406, FantasyPro!$B$2:$E$318, 4, false)), 0, vlookup($A406, FantasyPro!$B$2:$E$318, 4, false))</f>
        <v>0</v>
      </c>
      <c r="H406" s="46">
        <f>if(ISNA(vlookup($A406, RotoWire!$B$2:$E$681, 4, false)), 0, vlookup($A406, RotoWire!$B$2:$E$681, 4, false))</f>
        <v>0</v>
      </c>
      <c r="I406" s="47">
        <f t="shared" si="1"/>
        <v>0</v>
      </c>
      <c r="J406" s="47">
        <f t="shared" si="2"/>
        <v>0</v>
      </c>
    </row>
    <row r="407">
      <c r="A407" s="44" t="s">
        <v>455</v>
      </c>
      <c r="B407" s="45" t="s">
        <v>41</v>
      </c>
      <c r="C407" s="45" t="s">
        <v>17</v>
      </c>
      <c r="D407" s="45">
        <v>4.0</v>
      </c>
      <c r="E407" s="46">
        <f>if(ISNA(vlookup($A407, ESPN!$B$2:$E$281, 4, false)), 0, vlookup($A407, ESPN!$B$2:$E$281, 4, false))</f>
        <v>0</v>
      </c>
      <c r="F407" s="46">
        <f>if(ISNA(vlookup($A407, Scout.com!$B$2:$E$239, 4, false)), 0, vlookup($A407, Scout.com!$B$2:$E$239, 4, false))</f>
        <v>0</v>
      </c>
      <c r="G407" s="46">
        <f>if(ISNA(vlookup($A407, FantasyPro!$B$2:$E$318, 4, false)), 0, vlookup($A407, FantasyPro!$B$2:$E$318, 4, false))</f>
        <v>0</v>
      </c>
      <c r="H407" s="46">
        <f>if(ISNA(vlookup($A407, RotoWire!$B$2:$E$681, 4, false)), 0, vlookup($A407, RotoWire!$B$2:$E$681, 4, false))</f>
        <v>0</v>
      </c>
      <c r="I407" s="47">
        <f t="shared" si="1"/>
        <v>0</v>
      </c>
      <c r="J407" s="47">
        <f t="shared" si="2"/>
        <v>0</v>
      </c>
    </row>
    <row r="408">
      <c r="A408" s="44" t="s">
        <v>427</v>
      </c>
      <c r="B408" s="45" t="s">
        <v>65</v>
      </c>
      <c r="C408" s="45" t="s">
        <v>17</v>
      </c>
      <c r="D408" s="45">
        <v>7.0</v>
      </c>
      <c r="E408" s="46">
        <f>if(ISNA(vlookup($A408, ESPN!$B$2:$E$281, 4, false)), 0, vlookup($A408, ESPN!$B$2:$E$281, 4, false))</f>
        <v>0</v>
      </c>
      <c r="F408" s="46">
        <f>if(ISNA(vlookup($A408, Scout.com!$B$2:$E$239, 4, false)), 0, vlookup($A408, Scout.com!$B$2:$E$239, 4, false))</f>
        <v>0</v>
      </c>
      <c r="G408" s="46">
        <f>if(ISNA(vlookup($A408, FantasyPro!$B$2:$E$318, 4, false)), 0, vlookup($A408, FantasyPro!$B$2:$E$318, 4, false))</f>
        <v>0</v>
      </c>
      <c r="H408" s="46">
        <f>if(ISNA(vlookup($A408, RotoWire!$B$2:$E$681, 4, false)), 0, vlookup($A408, RotoWire!$B$2:$E$681, 4, false))</f>
        <v>0</v>
      </c>
      <c r="I408" s="47">
        <f t="shared" si="1"/>
        <v>0</v>
      </c>
      <c r="J408" s="47">
        <f t="shared" si="2"/>
        <v>0</v>
      </c>
    </row>
    <row r="409">
      <c r="A409" s="44" t="s">
        <v>416</v>
      </c>
      <c r="B409" s="45" t="s">
        <v>65</v>
      </c>
      <c r="C409" s="45" t="s">
        <v>219</v>
      </c>
      <c r="D409" s="45">
        <v>7.0</v>
      </c>
      <c r="E409" s="46">
        <f>if(ISNA(vlookup($A409, ESPN!$B$2:$E$281, 4, false)), 0, vlookup($A409, ESPN!$B$2:$E$281, 4, false))</f>
        <v>0</v>
      </c>
      <c r="F409" s="46">
        <f>if(ISNA(vlookup($A409, Scout.com!$B$2:$E$239, 4, false)), 0, vlookup($A409, Scout.com!$B$2:$E$239, 4, false))</f>
        <v>0</v>
      </c>
      <c r="G409" s="46">
        <f>if(ISNA(vlookup($A409, FantasyPro!$B$2:$E$318, 4, false)), 0, vlookup($A409, FantasyPro!$B$2:$E$318, 4, false))</f>
        <v>0</v>
      </c>
      <c r="H409" s="46">
        <f>if(ISNA(vlookup($A409, RotoWire!$B$2:$E$681, 4, false)), 0, vlookup($A409, RotoWire!$B$2:$E$681, 4, false))</f>
        <v>0</v>
      </c>
      <c r="I409" s="47">
        <f t="shared" si="1"/>
        <v>0</v>
      </c>
      <c r="J409" s="47">
        <f t="shared" si="2"/>
        <v>0</v>
      </c>
    </row>
    <row r="410">
      <c r="A410" s="44" t="s">
        <v>403</v>
      </c>
      <c r="B410" s="45" t="s">
        <v>45</v>
      </c>
      <c r="C410" s="45" t="s">
        <v>219</v>
      </c>
      <c r="D410" s="45">
        <v>11.0</v>
      </c>
      <c r="E410" s="46">
        <f>if(ISNA(vlookup($A410, ESPN!$B$2:$E$281, 4, false)), 0, vlookup($A410, ESPN!$B$2:$E$281, 4, false))</f>
        <v>0</v>
      </c>
      <c r="F410" s="46">
        <f>if(ISNA(vlookup($A410, Scout.com!$B$2:$E$239, 4, false)), 0, vlookup($A410, Scout.com!$B$2:$E$239, 4, false))</f>
        <v>0</v>
      </c>
      <c r="G410" s="46">
        <f>if(ISNA(vlookup($A410, FantasyPro!$B$2:$E$318, 4, false)), 0, vlookup($A410, FantasyPro!$B$2:$E$318, 4, false))</f>
        <v>0</v>
      </c>
      <c r="H410" s="46">
        <f>if(ISNA(vlookup($A410, RotoWire!$B$2:$E$681, 4, false)), 0, vlookup($A410, RotoWire!$B$2:$E$681, 4, false))</f>
        <v>0</v>
      </c>
      <c r="I410" s="47">
        <f t="shared" si="1"/>
        <v>0</v>
      </c>
      <c r="J410" s="47">
        <f t="shared" si="2"/>
        <v>0</v>
      </c>
    </row>
    <row r="411">
      <c r="A411" s="44" t="s">
        <v>630</v>
      </c>
      <c r="B411" s="45" t="s">
        <v>172</v>
      </c>
      <c r="C411" s="45" t="s">
        <v>43</v>
      </c>
      <c r="D411" s="49"/>
      <c r="E411" s="46">
        <f>if(ISNA(vlookup($A411, ESPN!$B$2:$E$281, 4, false)), 0, vlookup($A411, ESPN!$B$2:$E$281, 4, false))</f>
        <v>0</v>
      </c>
      <c r="F411" s="46">
        <f>if(ISNA(vlookup($A411, Scout.com!$B$2:$E$239, 4, false)), 0, vlookup($A411, Scout.com!$B$2:$E$239, 4, false))</f>
        <v>0</v>
      </c>
      <c r="G411" s="46">
        <f>if(ISNA(vlookup($A411, FantasyPro!$B$2:$E$318, 4, false)), 0, vlookup($A411, FantasyPro!$B$2:$E$318, 4, false))</f>
        <v>0</v>
      </c>
      <c r="H411" s="46">
        <f>if(ISNA(vlookup($A411, RotoWire!$B$2:$E$681, 4, false)), 0, vlookup($A411, RotoWire!$B$2:$E$681, 4, false))</f>
        <v>0</v>
      </c>
      <c r="I411" s="47">
        <f t="shared" si="1"/>
        <v>0</v>
      </c>
      <c r="J411" s="47">
        <f t="shared" si="2"/>
        <v>0</v>
      </c>
    </row>
    <row r="412">
      <c r="A412" s="44" t="s">
        <v>597</v>
      </c>
      <c r="B412" s="45" t="s">
        <v>51</v>
      </c>
      <c r="C412" s="45" t="s">
        <v>17</v>
      </c>
      <c r="D412" s="45">
        <v>5.0</v>
      </c>
      <c r="E412" s="46">
        <f>if(ISNA(vlookup($A412, ESPN!$B$2:$E$281, 4, false)), 0, vlookup($A412, ESPN!$B$2:$E$281, 4, false))</f>
        <v>0</v>
      </c>
      <c r="F412" s="46">
        <f>if(ISNA(vlookup($A412, Scout.com!$B$2:$E$239, 4, false)), 0, vlookup($A412, Scout.com!$B$2:$E$239, 4, false))</f>
        <v>0</v>
      </c>
      <c r="G412" s="46">
        <f>if(ISNA(vlookup($A412, FantasyPro!$B$2:$E$318, 4, false)), 0, vlookup($A412, FantasyPro!$B$2:$E$318, 4, false))</f>
        <v>0</v>
      </c>
      <c r="H412" s="46">
        <f>if(ISNA(vlookup($A412, RotoWire!$B$2:$E$681, 4, false)), 0, vlookup($A412, RotoWire!$B$2:$E$681, 4, false))</f>
        <v>0</v>
      </c>
      <c r="I412" s="47">
        <f t="shared" si="1"/>
        <v>0</v>
      </c>
      <c r="J412" s="47">
        <f t="shared" si="2"/>
        <v>0</v>
      </c>
    </row>
    <row r="413">
      <c r="A413" s="44" t="s">
        <v>680</v>
      </c>
      <c r="B413" s="45" t="s">
        <v>172</v>
      </c>
      <c r="C413" s="45" t="s">
        <v>97</v>
      </c>
      <c r="D413" s="49"/>
      <c r="E413" s="46">
        <f>if(ISNA(vlookup($A413, ESPN!$B$2:$E$281, 4, false)), 0, vlookup($A413, ESPN!$B$2:$E$281, 4, false))</f>
        <v>0</v>
      </c>
      <c r="F413" s="46">
        <f>if(ISNA(vlookup($A413, Scout.com!$B$2:$E$239, 4, false)), 0, vlookup($A413, Scout.com!$B$2:$E$239, 4, false))</f>
        <v>0</v>
      </c>
      <c r="G413" s="46">
        <f>if(ISNA(vlookup($A413, FantasyPro!$B$2:$E$318, 4, false)), 0, vlookup($A413, FantasyPro!$B$2:$E$318, 4, false))</f>
        <v>0</v>
      </c>
      <c r="H413" s="46">
        <f>if(ISNA(vlookup($A413, RotoWire!$B$2:$E$681, 4, false)), 0, vlookup($A413, RotoWire!$B$2:$E$681, 4, false))</f>
        <v>0</v>
      </c>
      <c r="I413" s="47">
        <f t="shared" si="1"/>
        <v>0</v>
      </c>
      <c r="J413" s="47">
        <f t="shared" si="2"/>
        <v>0</v>
      </c>
    </row>
    <row r="414">
      <c r="A414" s="44" t="s">
        <v>423</v>
      </c>
      <c r="B414" s="45" t="s">
        <v>6</v>
      </c>
      <c r="C414" s="45" t="s">
        <v>7</v>
      </c>
      <c r="D414" s="45">
        <v>7.0</v>
      </c>
      <c r="E414" s="46">
        <f>if(ISNA(vlookup($A414, ESPN!$B$2:$E$281, 4, false)), 0, vlookup($A414, ESPN!$B$2:$E$281, 4, false))</f>
        <v>0</v>
      </c>
      <c r="F414" s="46">
        <f>if(ISNA(vlookup($A414, Scout.com!$B$2:$E$239, 4, false)), 0, vlookup($A414, Scout.com!$B$2:$E$239, 4, false))</f>
        <v>0</v>
      </c>
      <c r="G414" s="46">
        <f>if(ISNA(vlookup($A414, FantasyPro!$B$2:$E$318, 4, false)), 0, vlookup($A414, FantasyPro!$B$2:$E$318, 4, false))</f>
        <v>0</v>
      </c>
      <c r="H414" s="46">
        <f>if(ISNA(vlookup($A414, RotoWire!$B$2:$E$681, 4, false)), 0, vlookup($A414, RotoWire!$B$2:$E$681, 4, false))</f>
        <v>0</v>
      </c>
      <c r="I414" s="47">
        <f t="shared" si="1"/>
        <v>0</v>
      </c>
      <c r="J414" s="47">
        <f t="shared" si="2"/>
        <v>0</v>
      </c>
    </row>
    <row r="415">
      <c r="A415" s="44" t="s">
        <v>557</v>
      </c>
      <c r="B415" s="45" t="s">
        <v>63</v>
      </c>
      <c r="C415" s="45" t="s">
        <v>43</v>
      </c>
      <c r="D415" s="45">
        <v>10.0</v>
      </c>
      <c r="E415" s="46">
        <f>if(ISNA(vlookup($A415, ESPN!$B$2:$E$281, 4, false)), 0, vlookup($A415, ESPN!$B$2:$E$281, 4, false))</f>
        <v>0</v>
      </c>
      <c r="F415" s="46">
        <f>if(ISNA(vlookup($A415, Scout.com!$B$2:$E$239, 4, false)), 0, vlookup($A415, Scout.com!$B$2:$E$239, 4, false))</f>
        <v>0</v>
      </c>
      <c r="G415" s="46">
        <f>if(ISNA(vlookup($A415, FantasyPro!$B$2:$E$318, 4, false)), 0, vlookup($A415, FantasyPro!$B$2:$E$318, 4, false))</f>
        <v>0</v>
      </c>
      <c r="H415" s="46">
        <f>if(ISNA(vlookup($A415, RotoWire!$B$2:$E$681, 4, false)), 0, vlookup($A415, RotoWire!$B$2:$E$681, 4, false))</f>
        <v>0</v>
      </c>
      <c r="I415" s="47">
        <f t="shared" si="1"/>
        <v>0</v>
      </c>
      <c r="J415" s="47">
        <f t="shared" si="2"/>
        <v>0</v>
      </c>
    </row>
    <row r="416">
      <c r="A416" s="44" t="s">
        <v>615</v>
      </c>
      <c r="B416" s="45" t="s">
        <v>67</v>
      </c>
      <c r="C416" s="45" t="s">
        <v>17</v>
      </c>
      <c r="D416" s="45">
        <v>11.0</v>
      </c>
      <c r="E416" s="46">
        <f>if(ISNA(vlookup($A416, ESPN!$B$2:$E$281, 4, false)), 0, vlookup($A416, ESPN!$B$2:$E$281, 4, false))</f>
        <v>0</v>
      </c>
      <c r="F416" s="46">
        <f>if(ISNA(vlookup($A416, Scout.com!$B$2:$E$239, 4, false)), 0, vlookup($A416, Scout.com!$B$2:$E$239, 4, false))</f>
        <v>0</v>
      </c>
      <c r="G416" s="46">
        <f>if(ISNA(vlookup($A416, FantasyPro!$B$2:$E$318, 4, false)), 0, vlookup($A416, FantasyPro!$B$2:$E$318, 4, false))</f>
        <v>0</v>
      </c>
      <c r="H416" s="46">
        <f>if(ISNA(vlookup($A416, RotoWire!$B$2:$E$681, 4, false)), 0, vlookup($A416, RotoWire!$B$2:$E$681, 4, false))</f>
        <v>0</v>
      </c>
      <c r="I416" s="47">
        <f t="shared" si="1"/>
        <v>0</v>
      </c>
      <c r="J416" s="47">
        <f t="shared" si="2"/>
        <v>0</v>
      </c>
    </row>
    <row r="417">
      <c r="A417" s="44" t="s">
        <v>441</v>
      </c>
      <c r="B417" s="45" t="s">
        <v>72</v>
      </c>
      <c r="C417" s="45" t="s">
        <v>7</v>
      </c>
      <c r="D417" s="45">
        <v>11.0</v>
      </c>
      <c r="E417" s="46">
        <f>if(ISNA(vlookup($A417, ESPN!$B$2:$E$281, 4, false)), 0, vlookup($A417, ESPN!$B$2:$E$281, 4, false))</f>
        <v>0</v>
      </c>
      <c r="F417" s="46">
        <f>if(ISNA(vlookup($A417, Scout.com!$B$2:$E$239, 4, false)), 0, vlookup($A417, Scout.com!$B$2:$E$239, 4, false))</f>
        <v>0</v>
      </c>
      <c r="G417" s="46">
        <f>if(ISNA(vlookup($A417, FantasyPro!$B$2:$E$318, 4, false)), 0, vlookup($A417, FantasyPro!$B$2:$E$318, 4, false))</f>
        <v>0</v>
      </c>
      <c r="H417" s="46">
        <f>if(ISNA(vlookup($A417, RotoWire!$B$2:$E$681, 4, false)), 0, vlookup($A417, RotoWire!$B$2:$E$681, 4, false))</f>
        <v>0</v>
      </c>
      <c r="I417" s="47">
        <f t="shared" si="1"/>
        <v>0</v>
      </c>
      <c r="J417" s="47">
        <f t="shared" si="2"/>
        <v>0</v>
      </c>
    </row>
    <row r="418">
      <c r="A418" s="44" t="s">
        <v>501</v>
      </c>
      <c r="B418" s="45" t="s">
        <v>70</v>
      </c>
      <c r="C418" s="45" t="s">
        <v>17</v>
      </c>
      <c r="D418" s="45">
        <v>11.0</v>
      </c>
      <c r="E418" s="46">
        <f>if(ISNA(vlookup($A418, ESPN!$B$2:$E$281, 4, false)), 0, vlookup($A418, ESPN!$B$2:$E$281, 4, false))</f>
        <v>0</v>
      </c>
      <c r="F418" s="46">
        <f>if(ISNA(vlookup($A418, Scout.com!$B$2:$E$239, 4, false)), 0, vlookup($A418, Scout.com!$B$2:$E$239, 4, false))</f>
        <v>0</v>
      </c>
      <c r="G418" s="46">
        <f>if(ISNA(vlookup($A418, FantasyPro!$B$2:$E$318, 4, false)), 0, vlookup($A418, FantasyPro!$B$2:$E$318, 4, false))</f>
        <v>0</v>
      </c>
      <c r="H418" s="46">
        <f>if(ISNA(vlookup($A418, RotoWire!$B$2:$E$681, 4, false)), 0, vlookup($A418, RotoWire!$B$2:$E$681, 4, false))</f>
        <v>0</v>
      </c>
      <c r="I418" s="47">
        <f t="shared" si="1"/>
        <v>0</v>
      </c>
      <c r="J418" s="47">
        <f t="shared" si="2"/>
        <v>0</v>
      </c>
    </row>
    <row r="419">
      <c r="A419" s="44" t="s">
        <v>448</v>
      </c>
      <c r="B419" s="45" t="s">
        <v>172</v>
      </c>
      <c r="C419" s="45" t="s">
        <v>17</v>
      </c>
      <c r="D419" s="49"/>
      <c r="E419" s="46">
        <f>if(ISNA(vlookup($A419, ESPN!$B$2:$E$281, 4, false)), 0, vlookup($A419, ESPN!$B$2:$E$281, 4, false))</f>
        <v>0</v>
      </c>
      <c r="F419" s="46">
        <f>if(ISNA(vlookup($A419, Scout.com!$B$2:$E$239, 4, false)), 0, vlookup($A419, Scout.com!$B$2:$E$239, 4, false))</f>
        <v>0</v>
      </c>
      <c r="G419" s="46">
        <f>if(ISNA(vlookup($A419, FantasyPro!$B$2:$E$318, 4, false)), 0, vlookup($A419, FantasyPro!$B$2:$E$318, 4, false))</f>
        <v>0</v>
      </c>
      <c r="H419" s="46">
        <f>if(ISNA(vlookup($A419, RotoWire!$B$2:$E$681, 4, false)), 0, vlookup($A419, RotoWire!$B$2:$E$681, 4, false))</f>
        <v>0</v>
      </c>
      <c r="I419" s="47">
        <f t="shared" si="1"/>
        <v>0</v>
      </c>
      <c r="J419" s="47">
        <f t="shared" si="2"/>
        <v>0</v>
      </c>
    </row>
    <row r="420">
      <c r="A420" s="44" t="s">
        <v>417</v>
      </c>
      <c r="B420" s="45" t="s">
        <v>72</v>
      </c>
      <c r="C420" s="45" t="s">
        <v>7</v>
      </c>
      <c r="D420" s="45">
        <v>11.0</v>
      </c>
      <c r="E420" s="46">
        <f>if(ISNA(vlookup($A420, ESPN!$B$2:$E$281, 4, false)), 0, vlookup($A420, ESPN!$B$2:$E$281, 4, false))</f>
        <v>0</v>
      </c>
      <c r="F420" s="46">
        <f>if(ISNA(vlookup($A420, Scout.com!$B$2:$E$239, 4, false)), 0, vlookup($A420, Scout.com!$B$2:$E$239, 4, false))</f>
        <v>0</v>
      </c>
      <c r="G420" s="46">
        <f>if(ISNA(vlookup($A420, FantasyPro!$B$2:$E$318, 4, false)), 0, vlookup($A420, FantasyPro!$B$2:$E$318, 4, false))</f>
        <v>0</v>
      </c>
      <c r="H420" s="46">
        <f>if(ISNA(vlookup($A420, RotoWire!$B$2:$E$681, 4, false)), 0, vlookup($A420, RotoWire!$B$2:$E$681, 4, false))</f>
        <v>0</v>
      </c>
      <c r="I420" s="47">
        <f t="shared" si="1"/>
        <v>0</v>
      </c>
      <c r="J420" s="47">
        <f t="shared" si="2"/>
        <v>0</v>
      </c>
    </row>
    <row r="421">
      <c r="A421" s="44" t="s">
        <v>618</v>
      </c>
      <c r="B421" s="45" t="s">
        <v>123</v>
      </c>
      <c r="C421" s="45" t="s">
        <v>43</v>
      </c>
      <c r="D421" s="45">
        <v>4.0</v>
      </c>
      <c r="E421" s="46">
        <f>if(ISNA(vlookup($A421, ESPN!$B$2:$E$281, 4, false)), 0, vlookup($A421, ESPN!$B$2:$E$281, 4, false))</f>
        <v>0</v>
      </c>
      <c r="F421" s="46">
        <f>if(ISNA(vlookup($A421, Scout.com!$B$2:$E$239, 4, false)), 0, vlookup($A421, Scout.com!$B$2:$E$239, 4, false))</f>
        <v>0</v>
      </c>
      <c r="G421" s="46">
        <f>if(ISNA(vlookup($A421, FantasyPro!$B$2:$E$318, 4, false)), 0, vlookup($A421, FantasyPro!$B$2:$E$318, 4, false))</f>
        <v>0</v>
      </c>
      <c r="H421" s="46">
        <f>if(ISNA(vlookup($A421, RotoWire!$B$2:$E$681, 4, false)), 0, vlookup($A421, RotoWire!$B$2:$E$681, 4, false))</f>
        <v>0</v>
      </c>
      <c r="I421" s="47">
        <f t="shared" si="1"/>
        <v>0</v>
      </c>
      <c r="J421" s="47">
        <f t="shared" si="2"/>
        <v>0</v>
      </c>
    </row>
    <row r="422">
      <c r="A422" s="44" t="s">
        <v>508</v>
      </c>
      <c r="B422" s="45" t="s">
        <v>11</v>
      </c>
      <c r="C422" s="45" t="s">
        <v>43</v>
      </c>
      <c r="D422" s="45">
        <v>9.0</v>
      </c>
      <c r="E422" s="46">
        <f>if(ISNA(vlookup($A422, ESPN!$B$2:$E$281, 4, false)), 0, vlookup($A422, ESPN!$B$2:$E$281, 4, false))</f>
        <v>0</v>
      </c>
      <c r="F422" s="46">
        <f>if(ISNA(vlookup($A422, Scout.com!$B$2:$E$239, 4, false)), 0, vlookup($A422, Scout.com!$B$2:$E$239, 4, false))</f>
        <v>0</v>
      </c>
      <c r="G422" s="46">
        <f>if(ISNA(vlookup($A422, FantasyPro!$B$2:$E$318, 4, false)), 0, vlookup($A422, FantasyPro!$B$2:$E$318, 4, false))</f>
        <v>0</v>
      </c>
      <c r="H422" s="46">
        <f>if(ISNA(vlookup($A422, RotoWire!$B$2:$E$681, 4, false)), 0, vlookup($A422, RotoWire!$B$2:$E$681, 4, false))</f>
        <v>0</v>
      </c>
      <c r="I422" s="47">
        <f t="shared" si="1"/>
        <v>0</v>
      </c>
      <c r="J422" s="47">
        <f t="shared" si="2"/>
        <v>0</v>
      </c>
    </row>
    <row r="423">
      <c r="A423" s="44" t="s">
        <v>276</v>
      </c>
      <c r="B423" s="45" t="s">
        <v>95</v>
      </c>
      <c r="C423" s="45" t="s">
        <v>17</v>
      </c>
      <c r="D423" s="45">
        <v>11.0</v>
      </c>
      <c r="E423" s="46">
        <f>if(ISNA(vlookup($A423, ESPN!$B$2:$E$281, 4, false)), 0, vlookup($A423, ESPN!$B$2:$E$281, 4, false))</f>
        <v>0</v>
      </c>
      <c r="F423" s="46">
        <f>if(ISNA(vlookup($A423, Scout.com!$B$2:$E$239, 4, false)), 0, vlookup($A423, Scout.com!$B$2:$E$239, 4, false))</f>
        <v>0</v>
      </c>
      <c r="G423" s="46">
        <f>if(ISNA(vlookup($A423, FantasyPro!$B$2:$E$318, 4, false)), 0, vlookup($A423, FantasyPro!$B$2:$E$318, 4, false))</f>
        <v>0</v>
      </c>
      <c r="H423" s="46">
        <f>if(ISNA(vlookup($A423, RotoWire!$B$2:$E$681, 4, false)), 0, vlookup($A423, RotoWire!$B$2:$E$681, 4, false))</f>
        <v>0</v>
      </c>
      <c r="I423" s="47">
        <f t="shared" si="1"/>
        <v>0</v>
      </c>
      <c r="J423" s="47">
        <f t="shared" si="2"/>
        <v>0</v>
      </c>
    </row>
    <row r="424">
      <c r="A424" s="44" t="s">
        <v>451</v>
      </c>
      <c r="B424" s="45" t="s">
        <v>6</v>
      </c>
      <c r="C424" s="45" t="s">
        <v>43</v>
      </c>
      <c r="D424" s="45">
        <v>7.0</v>
      </c>
      <c r="E424" s="46">
        <f>if(ISNA(vlookup($A424, ESPN!$B$2:$E$281, 4, false)), 0, vlookup($A424, ESPN!$B$2:$E$281, 4, false))</f>
        <v>0</v>
      </c>
      <c r="F424" s="46">
        <f>if(ISNA(vlookup($A424, Scout.com!$B$2:$E$239, 4, false)), 0, vlookup($A424, Scout.com!$B$2:$E$239, 4, false))</f>
        <v>0</v>
      </c>
      <c r="G424" s="46">
        <f>if(ISNA(vlookup($A424, FantasyPro!$B$2:$E$318, 4, false)), 0, vlookup($A424, FantasyPro!$B$2:$E$318, 4, false))</f>
        <v>0</v>
      </c>
      <c r="H424" s="46">
        <f>if(ISNA(vlookup($A424, RotoWire!$B$2:$E$681, 4, false)), 0, vlookup($A424, RotoWire!$B$2:$E$681, 4, false))</f>
        <v>0</v>
      </c>
      <c r="I424" s="47">
        <f t="shared" si="1"/>
        <v>0</v>
      </c>
      <c r="J424" s="47">
        <f t="shared" si="2"/>
        <v>0</v>
      </c>
    </row>
    <row r="425">
      <c r="A425" s="44" t="s">
        <v>303</v>
      </c>
      <c r="B425" s="45" t="s">
        <v>88</v>
      </c>
      <c r="C425" s="45" t="s">
        <v>97</v>
      </c>
      <c r="D425" s="45">
        <v>10.0</v>
      </c>
      <c r="E425" s="46">
        <f>if(ISNA(vlookup($A425, ESPN!$B$2:$E$281, 4, false)), 0, vlookup($A425, ESPN!$B$2:$E$281, 4, false))</f>
        <v>0</v>
      </c>
      <c r="F425" s="46">
        <f>if(ISNA(vlookup($A425, Scout.com!$B$2:$E$239, 4, false)), 0, vlookup($A425, Scout.com!$B$2:$E$239, 4, false))</f>
        <v>0</v>
      </c>
      <c r="G425" s="46">
        <f>if(ISNA(vlookup($A425, FantasyPro!$B$2:$E$318, 4, false)), 0, vlookup($A425, FantasyPro!$B$2:$E$318, 4, false))</f>
        <v>0</v>
      </c>
      <c r="H425" s="46">
        <f>if(ISNA(vlookup($A425, RotoWire!$B$2:$E$681, 4, false)), 0, vlookup($A425, RotoWire!$B$2:$E$681, 4, false))</f>
        <v>0</v>
      </c>
      <c r="I425" s="47">
        <f t="shared" si="1"/>
        <v>0</v>
      </c>
      <c r="J425" s="47">
        <f t="shared" si="2"/>
        <v>0</v>
      </c>
    </row>
    <row r="426">
      <c r="A426" s="44" t="s">
        <v>678</v>
      </c>
      <c r="B426" s="45" t="s">
        <v>26</v>
      </c>
      <c r="C426" s="45" t="s">
        <v>97</v>
      </c>
      <c r="D426" s="45">
        <v>10.0</v>
      </c>
      <c r="E426" s="46">
        <f>if(ISNA(vlookup($A426, ESPN!$B$2:$E$281, 4, false)), 0, vlookup($A426, ESPN!$B$2:$E$281, 4, false))</f>
        <v>0</v>
      </c>
      <c r="F426" s="46">
        <f>if(ISNA(vlookup($A426, Scout.com!$B$2:$E$239, 4, false)), 0, vlookup($A426, Scout.com!$B$2:$E$239, 4, false))</f>
        <v>0</v>
      </c>
      <c r="G426" s="46">
        <f>if(ISNA(vlookup($A426, FantasyPro!$B$2:$E$318, 4, false)), 0, vlookup($A426, FantasyPro!$B$2:$E$318, 4, false))</f>
        <v>0</v>
      </c>
      <c r="H426" s="46">
        <f>if(ISNA(vlookup($A426, RotoWire!$B$2:$E$681, 4, false)), 0, vlookup($A426, RotoWire!$B$2:$E$681, 4, false))</f>
        <v>0</v>
      </c>
      <c r="I426" s="47">
        <f t="shared" si="1"/>
        <v>0</v>
      </c>
      <c r="J426" s="47">
        <f t="shared" si="2"/>
        <v>0</v>
      </c>
    </row>
    <row r="427">
      <c r="A427" s="44" t="s">
        <v>299</v>
      </c>
      <c r="B427" s="45" t="s">
        <v>72</v>
      </c>
      <c r="C427" s="45" t="s">
        <v>7</v>
      </c>
      <c r="D427" s="45">
        <v>11.0</v>
      </c>
      <c r="E427" s="46">
        <f>if(ISNA(vlookup($A427, ESPN!$B$2:$E$281, 4, false)), 0, vlookup($A427, ESPN!$B$2:$E$281, 4, false))</f>
        <v>0</v>
      </c>
      <c r="F427" s="46">
        <f>if(ISNA(vlookup($A427, Scout.com!$B$2:$E$239, 4, false)), 0, vlookup($A427, Scout.com!$B$2:$E$239, 4, false))</f>
        <v>0</v>
      </c>
      <c r="G427" s="46">
        <f>if(ISNA(vlookup($A427, FantasyPro!$B$2:$E$318, 4, false)), 0, vlookup($A427, FantasyPro!$B$2:$E$318, 4, false))</f>
        <v>0</v>
      </c>
      <c r="H427" s="46">
        <f>if(ISNA(vlookup($A427, RotoWire!$B$2:$E$681, 4, false)), 0, vlookup($A427, RotoWire!$B$2:$E$681, 4, false))</f>
        <v>0</v>
      </c>
      <c r="I427" s="47">
        <f t="shared" si="1"/>
        <v>0</v>
      </c>
      <c r="J427" s="47">
        <f t="shared" si="2"/>
        <v>0</v>
      </c>
    </row>
    <row r="428">
      <c r="A428" s="44" t="s">
        <v>279</v>
      </c>
      <c r="B428" s="45" t="s">
        <v>9</v>
      </c>
      <c r="C428" s="45" t="s">
        <v>7</v>
      </c>
      <c r="D428" s="45">
        <v>12.0</v>
      </c>
      <c r="E428" s="46">
        <f>if(ISNA(vlookup($A428, ESPN!$B$2:$E$281, 4, false)), 0, vlookup($A428, ESPN!$B$2:$E$281, 4, false))</f>
        <v>0</v>
      </c>
      <c r="F428" s="46">
        <f>if(ISNA(vlookup($A428, Scout.com!$B$2:$E$239, 4, false)), 0, vlookup($A428, Scout.com!$B$2:$E$239, 4, false))</f>
        <v>0</v>
      </c>
      <c r="G428" s="46">
        <f>if(ISNA(vlookup($A428, FantasyPro!$B$2:$E$318, 4, false)), 0, vlookup($A428, FantasyPro!$B$2:$E$318, 4, false))</f>
        <v>0</v>
      </c>
      <c r="H428" s="46">
        <f>if(ISNA(vlookup($A428, RotoWire!$B$2:$E$681, 4, false)), 0, vlookup($A428, RotoWire!$B$2:$E$681, 4, false))</f>
        <v>0</v>
      </c>
      <c r="I428" s="47">
        <f t="shared" si="1"/>
        <v>0</v>
      </c>
      <c r="J428" s="47">
        <f t="shared" si="2"/>
        <v>0</v>
      </c>
    </row>
    <row r="429">
      <c r="A429" s="44" t="s">
        <v>459</v>
      </c>
      <c r="B429" s="45" t="s">
        <v>75</v>
      </c>
      <c r="C429" s="45" t="s">
        <v>17</v>
      </c>
      <c r="D429" s="45">
        <v>7.0</v>
      </c>
      <c r="E429" s="46">
        <f>if(ISNA(vlookup($A429, ESPN!$B$2:$E$281, 4, false)), 0, vlookup($A429, ESPN!$B$2:$E$281, 4, false))</f>
        <v>0</v>
      </c>
      <c r="F429" s="46">
        <f>if(ISNA(vlookup($A429, Scout.com!$B$2:$E$239, 4, false)), 0, vlookup($A429, Scout.com!$B$2:$E$239, 4, false))</f>
        <v>0</v>
      </c>
      <c r="G429" s="46">
        <f>if(ISNA(vlookup($A429, FantasyPro!$B$2:$E$318, 4, false)), 0, vlookup($A429, FantasyPro!$B$2:$E$318, 4, false))</f>
        <v>0</v>
      </c>
      <c r="H429" s="46">
        <f>if(ISNA(vlookup($A429, RotoWire!$B$2:$E$681, 4, false)), 0, vlookup($A429, RotoWire!$B$2:$E$681, 4, false))</f>
        <v>0</v>
      </c>
      <c r="I429" s="47">
        <f t="shared" si="1"/>
        <v>0</v>
      </c>
      <c r="J429" s="47">
        <f t="shared" si="2"/>
        <v>0</v>
      </c>
    </row>
    <row r="430">
      <c r="A430" s="44" t="s">
        <v>250</v>
      </c>
      <c r="B430" s="45" t="s">
        <v>19</v>
      </c>
      <c r="C430" s="45" t="s">
        <v>7</v>
      </c>
      <c r="D430" s="45">
        <v>9.0</v>
      </c>
      <c r="E430" s="46">
        <f>if(ISNA(vlookup($A430, ESPN!$B$2:$E$281, 4, false)), 0, vlookup($A430, ESPN!$B$2:$E$281, 4, false))</f>
        <v>0</v>
      </c>
      <c r="F430" s="46">
        <f>if(ISNA(vlookup($A430, Scout.com!$B$2:$E$239, 4, false)), 0, vlookup($A430, Scout.com!$B$2:$E$239, 4, false))</f>
        <v>0</v>
      </c>
      <c r="G430" s="46">
        <f>if(ISNA(vlookup($A430, FantasyPro!$B$2:$E$318, 4, false)), 0, vlookup($A430, FantasyPro!$B$2:$E$318, 4, false))</f>
        <v>0</v>
      </c>
      <c r="H430" s="46">
        <f>if(ISNA(vlookup($A430, RotoWire!$B$2:$E$681, 4, false)), 0, vlookup($A430, RotoWire!$B$2:$E$681, 4, false))</f>
        <v>0</v>
      </c>
      <c r="I430" s="47">
        <f t="shared" si="1"/>
        <v>0</v>
      </c>
      <c r="J430" s="47">
        <f t="shared" si="2"/>
        <v>0</v>
      </c>
    </row>
    <row r="431">
      <c r="A431" s="44" t="s">
        <v>369</v>
      </c>
      <c r="B431" s="45" t="s">
        <v>21</v>
      </c>
      <c r="C431" s="45" t="s">
        <v>7</v>
      </c>
      <c r="D431" s="45">
        <v>6.0</v>
      </c>
      <c r="E431" s="46">
        <f>if(ISNA(vlookup($A431, ESPN!$B$2:$E$281, 4, false)), 0, vlookup($A431, ESPN!$B$2:$E$281, 4, false))</f>
        <v>0</v>
      </c>
      <c r="F431" s="46">
        <f>if(ISNA(vlookup($A431, Scout.com!$B$2:$E$239, 4, false)), 0, vlookup($A431, Scout.com!$B$2:$E$239, 4, false))</f>
        <v>0</v>
      </c>
      <c r="G431" s="46">
        <f>if(ISNA(vlookup($A431, FantasyPro!$B$2:$E$318, 4, false)), 0, vlookup($A431, FantasyPro!$B$2:$E$318, 4, false))</f>
        <v>0</v>
      </c>
      <c r="H431" s="46">
        <f>if(ISNA(vlookup($A431, RotoWire!$B$2:$E$681, 4, false)), 0, vlookup($A431, RotoWire!$B$2:$E$681, 4, false))</f>
        <v>0</v>
      </c>
      <c r="I431" s="47">
        <f t="shared" si="1"/>
        <v>0</v>
      </c>
      <c r="J431" s="47">
        <f t="shared" si="2"/>
        <v>0</v>
      </c>
    </row>
    <row r="432">
      <c r="A432" s="44" t="s">
        <v>497</v>
      </c>
      <c r="B432" s="45" t="s">
        <v>83</v>
      </c>
      <c r="C432" s="45" t="s">
        <v>43</v>
      </c>
      <c r="D432" s="45">
        <v>8.0</v>
      </c>
      <c r="E432" s="46">
        <f>if(ISNA(vlookup($A432, ESPN!$B$2:$E$281, 4, false)), 0, vlookup($A432, ESPN!$B$2:$E$281, 4, false))</f>
        <v>0</v>
      </c>
      <c r="F432" s="46">
        <f>if(ISNA(vlookup($A432, Scout.com!$B$2:$E$239, 4, false)), 0, vlookup($A432, Scout.com!$B$2:$E$239, 4, false))</f>
        <v>0</v>
      </c>
      <c r="G432" s="46">
        <f>if(ISNA(vlookup($A432, FantasyPro!$B$2:$E$318, 4, false)), 0, vlookup($A432, FantasyPro!$B$2:$E$318, 4, false))</f>
        <v>0</v>
      </c>
      <c r="H432" s="46">
        <f>if(ISNA(vlookup($A432, RotoWire!$B$2:$E$681, 4, false)), 0, vlookup($A432, RotoWire!$B$2:$E$681, 4, false))</f>
        <v>0</v>
      </c>
      <c r="I432" s="47">
        <f t="shared" si="1"/>
        <v>0</v>
      </c>
      <c r="J432" s="47">
        <f t="shared" si="2"/>
        <v>0</v>
      </c>
    </row>
    <row r="433">
      <c r="A433" s="44" t="s">
        <v>473</v>
      </c>
      <c r="B433" s="45" t="s">
        <v>26</v>
      </c>
      <c r="C433" s="45" t="s">
        <v>43</v>
      </c>
      <c r="D433" s="45">
        <v>10.0</v>
      </c>
      <c r="E433" s="46">
        <f>if(ISNA(vlookup($A433, ESPN!$B$2:$E$281, 4, false)), 0, vlookup($A433, ESPN!$B$2:$E$281, 4, false))</f>
        <v>0</v>
      </c>
      <c r="F433" s="46">
        <f>if(ISNA(vlookup($A433, Scout.com!$B$2:$E$239, 4, false)), 0, vlookup($A433, Scout.com!$B$2:$E$239, 4, false))</f>
        <v>0</v>
      </c>
      <c r="G433" s="46">
        <f>if(ISNA(vlookup($A433, FantasyPro!$B$2:$E$318, 4, false)), 0, vlookup($A433, FantasyPro!$B$2:$E$318, 4, false))</f>
        <v>0</v>
      </c>
      <c r="H433" s="46">
        <f>if(ISNA(vlookup($A433, RotoWire!$B$2:$E$681, 4, false)), 0, vlookup($A433, RotoWire!$B$2:$E$681, 4, false))</f>
        <v>0</v>
      </c>
      <c r="I433" s="47">
        <f t="shared" si="1"/>
        <v>0</v>
      </c>
      <c r="J433" s="47">
        <f t="shared" si="2"/>
        <v>0</v>
      </c>
    </row>
    <row r="434">
      <c r="A434" s="44" t="s">
        <v>443</v>
      </c>
      <c r="B434" s="45" t="s">
        <v>88</v>
      </c>
      <c r="C434" s="45" t="s">
        <v>17</v>
      </c>
      <c r="D434" s="45">
        <v>10.0</v>
      </c>
      <c r="E434" s="46">
        <f>if(ISNA(vlookup($A434, ESPN!$B$2:$E$281, 4, false)), 0, vlookup($A434, ESPN!$B$2:$E$281, 4, false))</f>
        <v>0</v>
      </c>
      <c r="F434" s="46">
        <f>if(ISNA(vlookup($A434, Scout.com!$B$2:$E$239, 4, false)), 0, vlookup($A434, Scout.com!$B$2:$E$239, 4, false))</f>
        <v>0</v>
      </c>
      <c r="G434" s="46">
        <f>if(ISNA(vlookup($A434, FantasyPro!$B$2:$E$318, 4, false)), 0, vlookup($A434, FantasyPro!$B$2:$E$318, 4, false))</f>
        <v>0</v>
      </c>
      <c r="H434" s="46">
        <f>if(ISNA(vlookup($A434, RotoWire!$B$2:$E$681, 4, false)), 0, vlookup($A434, RotoWire!$B$2:$E$681, 4, false))</f>
        <v>0</v>
      </c>
      <c r="I434" s="47">
        <f t="shared" si="1"/>
        <v>0</v>
      </c>
      <c r="J434" s="47">
        <f t="shared" si="2"/>
        <v>0</v>
      </c>
    </row>
    <row r="435">
      <c r="A435" s="44" t="s">
        <v>628</v>
      </c>
      <c r="B435" s="45" t="s">
        <v>172</v>
      </c>
      <c r="C435" s="45" t="s">
        <v>17</v>
      </c>
      <c r="D435" s="49"/>
      <c r="E435" s="46">
        <f>if(ISNA(vlookup($A435, ESPN!$B$2:$E$281, 4, false)), 0, vlookup($A435, ESPN!$B$2:$E$281, 4, false))</f>
        <v>0</v>
      </c>
      <c r="F435" s="46">
        <f>if(ISNA(vlookup($A435, Scout.com!$B$2:$E$239, 4, false)), 0, vlookup($A435, Scout.com!$B$2:$E$239, 4, false))</f>
        <v>0</v>
      </c>
      <c r="G435" s="46">
        <f>if(ISNA(vlookup($A435, FantasyPro!$B$2:$E$318, 4, false)), 0, vlookup($A435, FantasyPro!$B$2:$E$318, 4, false))</f>
        <v>0</v>
      </c>
      <c r="H435" s="46">
        <f>if(ISNA(vlookup($A435, RotoWire!$B$2:$E$681, 4, false)), 0, vlookup($A435, RotoWire!$B$2:$E$681, 4, false))</f>
        <v>0</v>
      </c>
      <c r="I435" s="47">
        <f t="shared" si="1"/>
        <v>0</v>
      </c>
      <c r="J435" s="47">
        <f t="shared" si="2"/>
        <v>0</v>
      </c>
    </row>
    <row r="436">
      <c r="A436" s="44" t="s">
        <v>626</v>
      </c>
      <c r="B436" s="45" t="s">
        <v>26</v>
      </c>
      <c r="C436" s="45" t="s">
        <v>43</v>
      </c>
      <c r="D436" s="45">
        <v>10.0</v>
      </c>
      <c r="E436" s="46">
        <f>if(ISNA(vlookup($A436, ESPN!$B$2:$E$281, 4, false)), 0, vlookup($A436, ESPN!$B$2:$E$281, 4, false))</f>
        <v>0</v>
      </c>
      <c r="F436" s="46">
        <f>if(ISNA(vlookup($A436, Scout.com!$B$2:$E$239, 4, false)), 0, vlookup($A436, Scout.com!$B$2:$E$239, 4, false))</f>
        <v>0</v>
      </c>
      <c r="G436" s="46">
        <f>if(ISNA(vlookup($A436, FantasyPro!$B$2:$E$318, 4, false)), 0, vlookup($A436, FantasyPro!$B$2:$E$318, 4, false))</f>
        <v>0</v>
      </c>
      <c r="H436" s="46">
        <f>if(ISNA(vlookup($A436, RotoWire!$B$2:$E$681, 4, false)), 0, vlookup($A436, RotoWire!$B$2:$E$681, 4, false))</f>
        <v>0</v>
      </c>
      <c r="I436" s="47">
        <f t="shared" si="1"/>
        <v>0</v>
      </c>
      <c r="J436" s="47">
        <f t="shared" si="2"/>
        <v>0</v>
      </c>
    </row>
    <row r="437">
      <c r="A437" s="44" t="s">
        <v>541</v>
      </c>
      <c r="B437" s="45" t="s">
        <v>172</v>
      </c>
      <c r="C437" s="45" t="s">
        <v>7</v>
      </c>
      <c r="D437" s="49"/>
      <c r="E437" s="46">
        <f>if(ISNA(vlookup($A437, ESPN!$B$2:$E$281, 4, false)), 0, vlookup($A437, ESPN!$B$2:$E$281, 4, false))</f>
        <v>0</v>
      </c>
      <c r="F437" s="46">
        <f>if(ISNA(vlookup($A437, Scout.com!$B$2:$E$239, 4, false)), 0, vlookup($A437, Scout.com!$B$2:$E$239, 4, false))</f>
        <v>0</v>
      </c>
      <c r="G437" s="46">
        <f>if(ISNA(vlookup($A437, FantasyPro!$B$2:$E$318, 4, false)), 0, vlookup($A437, FantasyPro!$B$2:$E$318, 4, false))</f>
        <v>0</v>
      </c>
      <c r="H437" s="46">
        <f>if(ISNA(vlookup($A437, RotoWire!$B$2:$E$681, 4, false)), 0, vlookup($A437, RotoWire!$B$2:$E$681, 4, false))</f>
        <v>0</v>
      </c>
      <c r="I437" s="47">
        <f t="shared" si="1"/>
        <v>0</v>
      </c>
      <c r="J437" s="47">
        <f t="shared" si="2"/>
        <v>0</v>
      </c>
    </row>
    <row r="438">
      <c r="A438" s="44" t="s">
        <v>444</v>
      </c>
      <c r="B438" s="45" t="s">
        <v>60</v>
      </c>
      <c r="C438" s="45" t="s">
        <v>7</v>
      </c>
      <c r="D438" s="45">
        <v>9.0</v>
      </c>
      <c r="E438" s="46">
        <f>if(ISNA(vlookup($A438, ESPN!$B$2:$E$281, 4, false)), 0, vlookup($A438, ESPN!$B$2:$E$281, 4, false))</f>
        <v>0</v>
      </c>
      <c r="F438" s="46">
        <f>if(ISNA(vlookup($A438, Scout.com!$B$2:$E$239, 4, false)), 0, vlookup($A438, Scout.com!$B$2:$E$239, 4, false))</f>
        <v>0</v>
      </c>
      <c r="G438" s="46">
        <f>if(ISNA(vlookup($A438, FantasyPro!$B$2:$E$318, 4, false)), 0, vlookup($A438, FantasyPro!$B$2:$E$318, 4, false))</f>
        <v>0</v>
      </c>
      <c r="H438" s="46">
        <f>if(ISNA(vlookup($A438, RotoWire!$B$2:$E$681, 4, false)), 0, vlookup($A438, RotoWire!$B$2:$E$681, 4, false))</f>
        <v>0</v>
      </c>
      <c r="I438" s="47">
        <f t="shared" si="1"/>
        <v>0</v>
      </c>
      <c r="J438" s="47">
        <f t="shared" si="2"/>
        <v>0</v>
      </c>
    </row>
    <row r="439">
      <c r="A439" s="44" t="s">
        <v>555</v>
      </c>
      <c r="B439" s="45" t="s">
        <v>51</v>
      </c>
      <c r="C439" s="45" t="s">
        <v>17</v>
      </c>
      <c r="D439" s="45">
        <v>5.0</v>
      </c>
      <c r="E439" s="46">
        <f>if(ISNA(vlookup($A439, ESPN!$B$2:$E$281, 4, false)), 0, vlookup($A439, ESPN!$B$2:$E$281, 4, false))</f>
        <v>0</v>
      </c>
      <c r="F439" s="46">
        <f>if(ISNA(vlookup($A439, Scout.com!$B$2:$E$239, 4, false)), 0, vlookup($A439, Scout.com!$B$2:$E$239, 4, false))</f>
        <v>0</v>
      </c>
      <c r="G439" s="46">
        <f>if(ISNA(vlookup($A439, FantasyPro!$B$2:$E$318, 4, false)), 0, vlookup($A439, FantasyPro!$B$2:$E$318, 4, false))</f>
        <v>0</v>
      </c>
      <c r="H439" s="46">
        <f>if(ISNA(vlookup($A439, RotoWire!$B$2:$E$681, 4, false)), 0, vlookup($A439, RotoWire!$B$2:$E$681, 4, false))</f>
        <v>0</v>
      </c>
      <c r="I439" s="47">
        <f t="shared" si="1"/>
        <v>0</v>
      </c>
      <c r="J439" s="47">
        <f t="shared" si="2"/>
        <v>0</v>
      </c>
    </row>
    <row r="440">
      <c r="A440" s="44" t="s">
        <v>562</v>
      </c>
      <c r="B440" s="45" t="s">
        <v>53</v>
      </c>
      <c r="C440" s="45" t="s">
        <v>7</v>
      </c>
      <c r="D440" s="45">
        <v>9.0</v>
      </c>
      <c r="E440" s="46">
        <f>if(ISNA(vlookup($A440, ESPN!$B$2:$E$281, 4, false)), 0, vlookup($A440, ESPN!$B$2:$E$281, 4, false))</f>
        <v>0</v>
      </c>
      <c r="F440" s="46">
        <f>if(ISNA(vlookup($A440, Scout.com!$B$2:$E$239, 4, false)), 0, vlookup($A440, Scout.com!$B$2:$E$239, 4, false))</f>
        <v>0</v>
      </c>
      <c r="G440" s="46">
        <f>if(ISNA(vlookup($A440, FantasyPro!$B$2:$E$318, 4, false)), 0, vlookup($A440, FantasyPro!$B$2:$E$318, 4, false))</f>
        <v>0</v>
      </c>
      <c r="H440" s="46">
        <f>if(ISNA(vlookup($A440, RotoWire!$B$2:$E$681, 4, false)), 0, vlookup($A440, RotoWire!$B$2:$E$681, 4, false))</f>
        <v>0</v>
      </c>
      <c r="I440" s="47">
        <f t="shared" si="1"/>
        <v>0</v>
      </c>
      <c r="J440" s="47">
        <f t="shared" si="2"/>
        <v>0</v>
      </c>
    </row>
    <row r="441">
      <c r="A441" s="44" t="s">
        <v>539</v>
      </c>
      <c r="B441" s="45" t="s">
        <v>21</v>
      </c>
      <c r="C441" s="45" t="s">
        <v>43</v>
      </c>
      <c r="D441" s="45">
        <v>6.0</v>
      </c>
      <c r="E441" s="46">
        <f>if(ISNA(vlookup($A441, ESPN!$B$2:$E$281, 4, false)), 0, vlookup($A441, ESPN!$B$2:$E$281, 4, false))</f>
        <v>0</v>
      </c>
      <c r="F441" s="46">
        <f>if(ISNA(vlookup($A441, Scout.com!$B$2:$E$239, 4, false)), 0, vlookup($A441, Scout.com!$B$2:$E$239, 4, false))</f>
        <v>0</v>
      </c>
      <c r="G441" s="46">
        <f>if(ISNA(vlookup($A441, FantasyPro!$B$2:$E$318, 4, false)), 0, vlookup($A441, FantasyPro!$B$2:$E$318, 4, false))</f>
        <v>0</v>
      </c>
      <c r="H441" s="46">
        <f>if(ISNA(vlookup($A441, RotoWire!$B$2:$E$681, 4, false)), 0, vlookup($A441, RotoWire!$B$2:$E$681, 4, false))</f>
        <v>0</v>
      </c>
      <c r="I441" s="47">
        <f t="shared" si="1"/>
        <v>0</v>
      </c>
      <c r="J441" s="47">
        <f t="shared" si="2"/>
        <v>0</v>
      </c>
    </row>
    <row r="442">
      <c r="A442" s="44" t="s">
        <v>385</v>
      </c>
      <c r="B442" s="48" t="s">
        <v>30</v>
      </c>
      <c r="C442" s="45" t="s">
        <v>219</v>
      </c>
      <c r="D442" s="45">
        <v>9.0</v>
      </c>
      <c r="E442" s="46">
        <f>if(ISNA(vlookup($A442, ESPN!$B$2:$E$281, 4, false)), 0, vlookup($A442, ESPN!$B$2:$E$281, 4, false))</f>
        <v>0</v>
      </c>
      <c r="F442" s="46">
        <f>if(ISNA(vlookup($A442, Scout.com!$B$2:$E$239, 4, false)), 0, vlookup($A442, Scout.com!$B$2:$E$239, 4, false))</f>
        <v>0</v>
      </c>
      <c r="G442" s="46">
        <f>if(ISNA(vlookup($A442, FantasyPro!$B$2:$E$318, 4, false)), 0, vlookup($A442, FantasyPro!$B$2:$E$318, 4, false))</f>
        <v>0</v>
      </c>
      <c r="H442" s="46">
        <f>if(ISNA(vlookup($A442, RotoWire!$B$2:$E$681, 4, false)), 0, vlookup($A442, RotoWire!$B$2:$E$681, 4, false))</f>
        <v>0</v>
      </c>
      <c r="I442" s="47">
        <f t="shared" si="1"/>
        <v>0</v>
      </c>
      <c r="J442" s="47">
        <f t="shared" si="2"/>
        <v>0</v>
      </c>
    </row>
    <row r="443">
      <c r="A443" s="44" t="s">
        <v>305</v>
      </c>
      <c r="B443" s="45" t="s">
        <v>95</v>
      </c>
      <c r="C443" s="45" t="s">
        <v>97</v>
      </c>
      <c r="D443" s="45">
        <v>11.0</v>
      </c>
      <c r="E443" s="46">
        <f>if(ISNA(vlookup($A443, ESPN!$B$2:$E$281, 4, false)), 0, vlookup($A443, ESPN!$B$2:$E$281, 4, false))</f>
        <v>0</v>
      </c>
      <c r="F443" s="46">
        <f>if(ISNA(vlookup($A443, Scout.com!$B$2:$E$239, 4, false)), 0, vlookup($A443, Scout.com!$B$2:$E$239, 4, false))</f>
        <v>0</v>
      </c>
      <c r="G443" s="46">
        <f>if(ISNA(vlookup($A443, FantasyPro!$B$2:$E$318, 4, false)), 0, vlookup($A443, FantasyPro!$B$2:$E$318, 4, false))</f>
        <v>0</v>
      </c>
      <c r="H443" s="46">
        <f>if(ISNA(vlookup($A443, RotoWire!$B$2:$E$681, 4, false)), 0, vlookup($A443, RotoWire!$B$2:$E$681, 4, false))</f>
        <v>0</v>
      </c>
      <c r="I443" s="47">
        <f t="shared" si="1"/>
        <v>0</v>
      </c>
      <c r="J443" s="47">
        <f t="shared" si="2"/>
        <v>0</v>
      </c>
    </row>
    <row r="444">
      <c r="A444" s="44" t="s">
        <v>523</v>
      </c>
      <c r="B444" s="45" t="s">
        <v>9</v>
      </c>
      <c r="C444" s="45" t="s">
        <v>17</v>
      </c>
      <c r="D444" s="45">
        <v>12.0</v>
      </c>
      <c r="E444" s="46">
        <f>if(ISNA(vlookup($A444, ESPN!$B$2:$E$281, 4, false)), 0, vlookup($A444, ESPN!$B$2:$E$281, 4, false))</f>
        <v>0</v>
      </c>
      <c r="F444" s="46">
        <f>if(ISNA(vlookup($A444, Scout.com!$B$2:$E$239, 4, false)), 0, vlookup($A444, Scout.com!$B$2:$E$239, 4, false))</f>
        <v>0</v>
      </c>
      <c r="G444" s="46">
        <f>if(ISNA(vlookup($A444, FantasyPro!$B$2:$E$318, 4, false)), 0, vlookup($A444, FantasyPro!$B$2:$E$318, 4, false))</f>
        <v>0</v>
      </c>
      <c r="H444" s="46">
        <f>if(ISNA(vlookup($A444, RotoWire!$B$2:$E$681, 4, false)), 0, vlookup($A444, RotoWire!$B$2:$E$681, 4, false))</f>
        <v>0</v>
      </c>
      <c r="I444" s="47">
        <f t="shared" si="1"/>
        <v>0</v>
      </c>
      <c r="J444" s="47">
        <f t="shared" si="2"/>
        <v>0</v>
      </c>
    </row>
    <row r="445">
      <c r="A445" s="44" t="s">
        <v>660</v>
      </c>
      <c r="B445" s="45" t="s">
        <v>6</v>
      </c>
      <c r="C445" s="45" t="s">
        <v>97</v>
      </c>
      <c r="D445" s="45">
        <v>7.0</v>
      </c>
      <c r="E445" s="46">
        <f>if(ISNA(vlookup($A445, ESPN!$B$2:$E$281, 4, false)), 0, vlookup($A445, ESPN!$B$2:$E$281, 4, false))</f>
        <v>0</v>
      </c>
      <c r="F445" s="46">
        <f>if(ISNA(vlookup($A445, Scout.com!$B$2:$E$239, 4, false)), 0, vlookup($A445, Scout.com!$B$2:$E$239, 4, false))</f>
        <v>0</v>
      </c>
      <c r="G445" s="46">
        <f>if(ISNA(vlookup($A445, FantasyPro!$B$2:$E$318, 4, false)), 0, vlookup($A445, FantasyPro!$B$2:$E$318, 4, false))</f>
        <v>0</v>
      </c>
      <c r="H445" s="46">
        <f>if(ISNA(vlookup($A445, RotoWire!$B$2:$E$681, 4, false)), 0, vlookup($A445, RotoWire!$B$2:$E$681, 4, false))</f>
        <v>0</v>
      </c>
      <c r="I445" s="47">
        <f t="shared" si="1"/>
        <v>0</v>
      </c>
      <c r="J445" s="47">
        <f t="shared" si="2"/>
        <v>0</v>
      </c>
    </row>
    <row r="446">
      <c r="A446" s="44" t="s">
        <v>631</v>
      </c>
      <c r="B446" s="45" t="s">
        <v>172</v>
      </c>
      <c r="C446" s="45" t="s">
        <v>43</v>
      </c>
      <c r="D446" s="49"/>
      <c r="E446" s="46">
        <f>if(ISNA(vlookup($A446, ESPN!$B$2:$E$281, 4, false)), 0, vlookup($A446, ESPN!$B$2:$E$281, 4, false))</f>
        <v>0</v>
      </c>
      <c r="F446" s="46">
        <f>if(ISNA(vlookup($A446, Scout.com!$B$2:$E$239, 4, false)), 0, vlookup($A446, Scout.com!$B$2:$E$239, 4, false))</f>
        <v>0</v>
      </c>
      <c r="G446" s="46">
        <f>if(ISNA(vlookup($A446, FantasyPro!$B$2:$E$318, 4, false)), 0, vlookup($A446, FantasyPro!$B$2:$E$318, 4, false))</f>
        <v>0</v>
      </c>
      <c r="H446" s="46">
        <f>if(ISNA(vlookup($A446, RotoWire!$B$2:$E$681, 4, false)), 0, vlookup($A446, RotoWire!$B$2:$E$681, 4, false))</f>
        <v>0</v>
      </c>
      <c r="I446" s="47">
        <f t="shared" si="1"/>
        <v>0</v>
      </c>
      <c r="J446" s="47">
        <f t="shared" si="2"/>
        <v>0</v>
      </c>
    </row>
    <row r="447">
      <c r="A447" s="44" t="s">
        <v>467</v>
      </c>
      <c r="B447" s="45" t="s">
        <v>23</v>
      </c>
      <c r="C447" s="45" t="s">
        <v>17</v>
      </c>
      <c r="D447" s="45">
        <v>8.0</v>
      </c>
      <c r="E447" s="46">
        <f>if(ISNA(vlookup($A447, ESPN!$B$2:$E$281, 4, false)), 0, vlookup($A447, ESPN!$B$2:$E$281, 4, false))</f>
        <v>0</v>
      </c>
      <c r="F447" s="46">
        <f>if(ISNA(vlookup($A447, Scout.com!$B$2:$E$239, 4, false)), 0, vlookup($A447, Scout.com!$B$2:$E$239, 4, false))</f>
        <v>0</v>
      </c>
      <c r="G447" s="46">
        <f>if(ISNA(vlookup($A447, FantasyPro!$B$2:$E$318, 4, false)), 0, vlookup($A447, FantasyPro!$B$2:$E$318, 4, false))</f>
        <v>0</v>
      </c>
      <c r="H447" s="46">
        <f>if(ISNA(vlookup($A447, RotoWire!$B$2:$E$681, 4, false)), 0, vlookup($A447, RotoWire!$B$2:$E$681, 4, false))</f>
        <v>0</v>
      </c>
      <c r="I447" s="47">
        <f t="shared" si="1"/>
        <v>0</v>
      </c>
      <c r="J447" s="47">
        <f t="shared" si="2"/>
        <v>0</v>
      </c>
    </row>
    <row r="448">
      <c r="A448" s="44" t="s">
        <v>614</v>
      </c>
      <c r="B448" s="45" t="s">
        <v>6</v>
      </c>
      <c r="C448" s="45" t="s">
        <v>17</v>
      </c>
      <c r="D448" s="45">
        <v>7.0</v>
      </c>
      <c r="E448" s="46">
        <f>if(ISNA(vlookup($A448, ESPN!$B$2:$E$281, 4, false)), 0, vlookup($A448, ESPN!$B$2:$E$281, 4, false))</f>
        <v>0</v>
      </c>
      <c r="F448" s="46">
        <f>if(ISNA(vlookup($A448, Scout.com!$B$2:$E$239, 4, false)), 0, vlookup($A448, Scout.com!$B$2:$E$239, 4, false))</f>
        <v>0</v>
      </c>
      <c r="G448" s="46">
        <f>if(ISNA(vlookup($A448, FantasyPro!$B$2:$E$318, 4, false)), 0, vlookup($A448, FantasyPro!$B$2:$E$318, 4, false))</f>
        <v>0</v>
      </c>
      <c r="H448" s="46">
        <f>if(ISNA(vlookup($A448, RotoWire!$B$2:$E$681, 4, false)), 0, vlookup($A448, RotoWire!$B$2:$E$681, 4, false))</f>
        <v>0</v>
      </c>
      <c r="I448" s="47">
        <f t="shared" si="1"/>
        <v>0</v>
      </c>
      <c r="J448" s="47">
        <f t="shared" si="2"/>
        <v>0</v>
      </c>
    </row>
    <row r="449">
      <c r="A449" s="44" t="s">
        <v>582</v>
      </c>
      <c r="B449" s="45" t="s">
        <v>34</v>
      </c>
      <c r="C449" s="45" t="s">
        <v>7</v>
      </c>
      <c r="D449" s="45">
        <v>8.0</v>
      </c>
      <c r="E449" s="46">
        <f>if(ISNA(vlookup($A449, ESPN!$B$2:$E$281, 4, false)), 0, vlookup($A449, ESPN!$B$2:$E$281, 4, false))</f>
        <v>0</v>
      </c>
      <c r="F449" s="46">
        <f>if(ISNA(vlookup($A449, Scout.com!$B$2:$E$239, 4, false)), 0, vlookup($A449, Scout.com!$B$2:$E$239, 4, false))</f>
        <v>0</v>
      </c>
      <c r="G449" s="46">
        <f>if(ISNA(vlookup($A449, FantasyPro!$B$2:$E$318, 4, false)), 0, vlookup($A449, FantasyPro!$B$2:$E$318, 4, false))</f>
        <v>0</v>
      </c>
      <c r="H449" s="46">
        <f>if(ISNA(vlookup($A449, RotoWire!$B$2:$E$681, 4, false)), 0, vlookup($A449, RotoWire!$B$2:$E$681, 4, false))</f>
        <v>0</v>
      </c>
      <c r="I449" s="47">
        <f t="shared" si="1"/>
        <v>0</v>
      </c>
      <c r="J449" s="47">
        <f t="shared" si="2"/>
        <v>0</v>
      </c>
    </row>
    <row r="450">
      <c r="A450" s="44" t="s">
        <v>502</v>
      </c>
      <c r="B450" s="45" t="s">
        <v>49</v>
      </c>
      <c r="C450" s="45" t="s">
        <v>17</v>
      </c>
      <c r="D450" s="45">
        <v>5.0</v>
      </c>
      <c r="E450" s="46">
        <f>if(ISNA(vlookup($A450, ESPN!$B$2:$E$281, 4, false)), 0, vlookup($A450, ESPN!$B$2:$E$281, 4, false))</f>
        <v>0</v>
      </c>
      <c r="F450" s="46">
        <f>if(ISNA(vlookup($A450, Scout.com!$B$2:$E$239, 4, false)), 0, vlookup($A450, Scout.com!$B$2:$E$239, 4, false))</f>
        <v>0</v>
      </c>
      <c r="G450" s="46">
        <f>if(ISNA(vlookup($A450, FantasyPro!$B$2:$E$318, 4, false)), 0, vlookup($A450, FantasyPro!$B$2:$E$318, 4, false))</f>
        <v>0</v>
      </c>
      <c r="H450" s="46">
        <f>if(ISNA(vlookup($A450, RotoWire!$B$2:$E$681, 4, false)), 0, vlookup($A450, RotoWire!$B$2:$E$681, 4, false))</f>
        <v>0</v>
      </c>
      <c r="I450" s="47">
        <f t="shared" si="1"/>
        <v>0</v>
      </c>
      <c r="J450" s="47">
        <f t="shared" si="2"/>
        <v>0</v>
      </c>
    </row>
    <row r="451">
      <c r="A451" s="44" t="s">
        <v>395</v>
      </c>
      <c r="B451" s="45" t="s">
        <v>26</v>
      </c>
      <c r="C451" s="45" t="s">
        <v>219</v>
      </c>
      <c r="D451" s="45">
        <v>10.0</v>
      </c>
      <c r="E451" s="46">
        <f>if(ISNA(vlookup($A451, ESPN!$B$2:$E$281, 4, false)), 0, vlookup($A451, ESPN!$B$2:$E$281, 4, false))</f>
        <v>0</v>
      </c>
      <c r="F451" s="46">
        <f>if(ISNA(vlookup($A451, Scout.com!$B$2:$E$239, 4, false)), 0, vlookup($A451, Scout.com!$B$2:$E$239, 4, false))</f>
        <v>0</v>
      </c>
      <c r="G451" s="46">
        <f>if(ISNA(vlookup($A451, FantasyPro!$B$2:$E$318, 4, false)), 0, vlookup($A451, FantasyPro!$B$2:$E$318, 4, false))</f>
        <v>0</v>
      </c>
      <c r="H451" s="46">
        <f>if(ISNA(vlookup($A451, RotoWire!$B$2:$E$681, 4, false)), 0, vlookup($A451, RotoWire!$B$2:$E$681, 4, false))</f>
        <v>0</v>
      </c>
      <c r="I451" s="47">
        <f t="shared" si="1"/>
        <v>0</v>
      </c>
      <c r="J451" s="47">
        <f t="shared" si="2"/>
        <v>0</v>
      </c>
    </row>
    <row r="452">
      <c r="A452" s="44" t="s">
        <v>535</v>
      </c>
      <c r="B452" s="45" t="s">
        <v>70</v>
      </c>
      <c r="C452" s="45" t="s">
        <v>17</v>
      </c>
      <c r="D452" s="45">
        <v>11.0</v>
      </c>
      <c r="E452" s="46">
        <f>if(ISNA(vlookup($A452, ESPN!$B$2:$E$281, 4, false)), 0, vlookup($A452, ESPN!$B$2:$E$281, 4, false))</f>
        <v>0</v>
      </c>
      <c r="F452" s="46">
        <f>if(ISNA(vlookup($A452, Scout.com!$B$2:$E$239, 4, false)), 0, vlookup($A452, Scout.com!$B$2:$E$239, 4, false))</f>
        <v>0</v>
      </c>
      <c r="G452" s="46">
        <f>if(ISNA(vlookup($A452, FantasyPro!$B$2:$E$318, 4, false)), 0, vlookup($A452, FantasyPro!$B$2:$E$318, 4, false))</f>
        <v>0</v>
      </c>
      <c r="H452" s="46">
        <f>if(ISNA(vlookup($A452, RotoWire!$B$2:$E$681, 4, false)), 0, vlookup($A452, RotoWire!$B$2:$E$681, 4, false))</f>
        <v>0</v>
      </c>
      <c r="I452" s="47">
        <f t="shared" si="1"/>
        <v>0</v>
      </c>
      <c r="J452" s="47">
        <f t="shared" si="2"/>
        <v>0</v>
      </c>
    </row>
    <row r="453">
      <c r="A453" s="44" t="s">
        <v>409</v>
      </c>
      <c r="B453" s="45" t="s">
        <v>32</v>
      </c>
      <c r="C453" s="45" t="s">
        <v>219</v>
      </c>
      <c r="D453" s="45">
        <v>10.0</v>
      </c>
      <c r="E453" s="46">
        <f>if(ISNA(vlookup($A453, ESPN!$B$2:$E$281, 4, false)), 0, vlookup($A453, ESPN!$B$2:$E$281, 4, false))</f>
        <v>0</v>
      </c>
      <c r="F453" s="46">
        <f>if(ISNA(vlookup($A453, Scout.com!$B$2:$E$239, 4, false)), 0, vlookup($A453, Scout.com!$B$2:$E$239, 4, false))</f>
        <v>0</v>
      </c>
      <c r="G453" s="46">
        <f>if(ISNA(vlookup($A453, FantasyPro!$B$2:$E$318, 4, false)), 0, vlookup($A453, FantasyPro!$B$2:$E$318, 4, false))</f>
        <v>0</v>
      </c>
      <c r="H453" s="46">
        <f>if(ISNA(vlookup($A453, RotoWire!$B$2:$E$681, 4, false)), 0, vlookup($A453, RotoWire!$B$2:$E$681, 4, false))</f>
        <v>0</v>
      </c>
      <c r="I453" s="47">
        <f t="shared" si="1"/>
        <v>0</v>
      </c>
      <c r="J453" s="47">
        <f t="shared" si="2"/>
        <v>0</v>
      </c>
    </row>
    <row r="454">
      <c r="A454" s="44" t="s">
        <v>511</v>
      </c>
      <c r="B454" s="45" t="s">
        <v>60</v>
      </c>
      <c r="C454" s="45" t="s">
        <v>17</v>
      </c>
      <c r="D454" s="45">
        <v>9.0</v>
      </c>
      <c r="E454" s="46">
        <f>if(ISNA(vlookup($A454, ESPN!$B$2:$E$281, 4, false)), 0, vlookup($A454, ESPN!$B$2:$E$281, 4, false))</f>
        <v>0</v>
      </c>
      <c r="F454" s="46">
        <f>if(ISNA(vlookup($A454, Scout.com!$B$2:$E$239, 4, false)), 0, vlookup($A454, Scout.com!$B$2:$E$239, 4, false))</f>
        <v>0</v>
      </c>
      <c r="G454" s="46">
        <f>if(ISNA(vlookup($A454, FantasyPro!$B$2:$E$318, 4, false)), 0, vlookup($A454, FantasyPro!$B$2:$E$318, 4, false))</f>
        <v>0</v>
      </c>
      <c r="H454" s="46">
        <f>if(ISNA(vlookup($A454, RotoWire!$B$2:$E$681, 4, false)), 0, vlookup($A454, RotoWire!$B$2:$E$681, 4, false))</f>
        <v>0</v>
      </c>
      <c r="I454" s="47">
        <f t="shared" si="1"/>
        <v>0</v>
      </c>
      <c r="J454" s="47">
        <f t="shared" si="2"/>
        <v>0</v>
      </c>
    </row>
    <row r="455">
      <c r="A455" s="44" t="s">
        <v>544</v>
      </c>
      <c r="B455" s="45" t="s">
        <v>172</v>
      </c>
      <c r="C455" s="45" t="s">
        <v>7</v>
      </c>
      <c r="D455" s="49"/>
      <c r="E455" s="46">
        <f>if(ISNA(vlookup($A455, ESPN!$B$2:$E$281, 4, false)), 0, vlookup($A455, ESPN!$B$2:$E$281, 4, false))</f>
        <v>0</v>
      </c>
      <c r="F455" s="46">
        <f>if(ISNA(vlookup($A455, Scout.com!$B$2:$E$239, 4, false)), 0, vlookup($A455, Scout.com!$B$2:$E$239, 4, false))</f>
        <v>0</v>
      </c>
      <c r="G455" s="46">
        <f>if(ISNA(vlookup($A455, FantasyPro!$B$2:$E$318, 4, false)), 0, vlookup($A455, FantasyPro!$B$2:$E$318, 4, false))</f>
        <v>0</v>
      </c>
      <c r="H455" s="46">
        <f>if(ISNA(vlookup($A455, RotoWire!$B$2:$E$681, 4, false)), 0, vlookup($A455, RotoWire!$B$2:$E$681, 4, false))</f>
        <v>0</v>
      </c>
      <c r="I455" s="47">
        <f t="shared" si="1"/>
        <v>0</v>
      </c>
      <c r="J455" s="47">
        <f t="shared" si="2"/>
        <v>0</v>
      </c>
    </row>
    <row r="456">
      <c r="A456" s="44" t="s">
        <v>344</v>
      </c>
      <c r="B456" s="45" t="s">
        <v>28</v>
      </c>
      <c r="C456" s="45" t="s">
        <v>199</v>
      </c>
      <c r="D456" s="45">
        <v>12.0</v>
      </c>
      <c r="E456" s="46">
        <f>if(ISNA(vlookup($A456, ESPN!$B$2:$E$281, 4, false)), 0, vlookup($A456, ESPN!$B$2:$E$281, 4, false))</f>
        <v>0</v>
      </c>
      <c r="F456" s="46">
        <f>if(ISNA(vlookup($A456, Scout.com!$B$2:$E$239, 4, false)), 0, vlookup($A456, Scout.com!$B$2:$E$239, 4, false))</f>
        <v>0</v>
      </c>
      <c r="G456" s="46">
        <f>if(ISNA(vlookup($A456, FantasyPro!$B$2:$E$318, 4, false)), 0, vlookup($A456, FantasyPro!$B$2:$E$318, 4, false))</f>
        <v>0</v>
      </c>
      <c r="H456" s="46">
        <f>if(ISNA(vlookup($A456, RotoWire!$B$2:$E$681, 4, false)), 0, vlookup($A456, RotoWire!$B$2:$E$681, 4, false))</f>
        <v>0</v>
      </c>
      <c r="I456" s="47">
        <f t="shared" si="1"/>
        <v>0</v>
      </c>
      <c r="J456" s="47">
        <f t="shared" si="2"/>
        <v>0</v>
      </c>
    </row>
    <row r="457">
      <c r="A457" s="44" t="s">
        <v>366</v>
      </c>
      <c r="B457" s="45" t="s">
        <v>123</v>
      </c>
      <c r="C457" s="45" t="s">
        <v>7</v>
      </c>
      <c r="D457" s="45">
        <v>4.0</v>
      </c>
      <c r="E457" s="46">
        <f>if(ISNA(vlookup($A457, ESPN!$B$2:$E$281, 4, false)), 0, vlookup($A457, ESPN!$B$2:$E$281, 4, false))</f>
        <v>0</v>
      </c>
      <c r="F457" s="46">
        <f>if(ISNA(vlookup($A457, Scout.com!$B$2:$E$239, 4, false)), 0, vlookup($A457, Scout.com!$B$2:$E$239, 4, false))</f>
        <v>0</v>
      </c>
      <c r="G457" s="46">
        <f>if(ISNA(vlookup($A457, FantasyPro!$B$2:$E$318, 4, false)), 0, vlookup($A457, FantasyPro!$B$2:$E$318, 4, false))</f>
        <v>0</v>
      </c>
      <c r="H457" s="46">
        <f>if(ISNA(vlookup($A457, RotoWire!$B$2:$E$681, 4, false)), 0, vlookup($A457, RotoWire!$B$2:$E$681, 4, false))</f>
        <v>0</v>
      </c>
      <c r="I457" s="47">
        <f t="shared" si="1"/>
        <v>0</v>
      </c>
      <c r="J457" s="47">
        <f t="shared" si="2"/>
        <v>0</v>
      </c>
    </row>
    <row r="458">
      <c r="A458" s="44" t="s">
        <v>504</v>
      </c>
      <c r="B458" s="45" t="s">
        <v>172</v>
      </c>
      <c r="C458" s="45" t="s">
        <v>7</v>
      </c>
      <c r="D458" s="49"/>
      <c r="E458" s="46">
        <f>if(ISNA(vlookup($A458, ESPN!$B$2:$E$281, 4, false)), 0, vlookup($A458, ESPN!$B$2:$E$281, 4, false))</f>
        <v>0</v>
      </c>
      <c r="F458" s="46">
        <f>if(ISNA(vlookup($A458, Scout.com!$B$2:$E$239, 4, false)), 0, vlookup($A458, Scout.com!$B$2:$E$239, 4, false))</f>
        <v>0</v>
      </c>
      <c r="G458" s="46">
        <f>if(ISNA(vlookup($A458, FantasyPro!$B$2:$E$318, 4, false)), 0, vlookup($A458, FantasyPro!$B$2:$E$318, 4, false))</f>
        <v>0</v>
      </c>
      <c r="H458" s="46">
        <f>if(ISNA(vlookup($A458, RotoWire!$B$2:$E$681, 4, false)), 0, vlookup($A458, RotoWire!$B$2:$E$681, 4, false))</f>
        <v>0</v>
      </c>
      <c r="I458" s="47">
        <f t="shared" si="1"/>
        <v>0</v>
      </c>
      <c r="J458" s="47">
        <f t="shared" si="2"/>
        <v>0</v>
      </c>
    </row>
    <row r="459">
      <c r="A459" s="44" t="s">
        <v>518</v>
      </c>
      <c r="B459" s="45" t="s">
        <v>26</v>
      </c>
      <c r="C459" s="45" t="s">
        <v>17</v>
      </c>
      <c r="D459" s="45">
        <v>10.0</v>
      </c>
      <c r="E459" s="46">
        <f>if(ISNA(vlookup($A459, ESPN!$B$2:$E$281, 4, false)), 0, vlookup($A459, ESPN!$B$2:$E$281, 4, false))</f>
        <v>0</v>
      </c>
      <c r="F459" s="46">
        <f>if(ISNA(vlookup($A459, Scout.com!$B$2:$E$239, 4, false)), 0, vlookup($A459, Scout.com!$B$2:$E$239, 4, false))</f>
        <v>0</v>
      </c>
      <c r="G459" s="46">
        <f>if(ISNA(vlookup($A459, FantasyPro!$B$2:$E$318, 4, false)), 0, vlookup($A459, FantasyPro!$B$2:$E$318, 4, false))</f>
        <v>0</v>
      </c>
      <c r="H459" s="46">
        <f>if(ISNA(vlookup($A459, RotoWire!$B$2:$E$681, 4, false)), 0, vlookup($A459, RotoWire!$B$2:$E$681, 4, false))</f>
        <v>0</v>
      </c>
      <c r="I459" s="47">
        <f t="shared" si="1"/>
        <v>0</v>
      </c>
      <c r="J459" s="47">
        <f t="shared" si="2"/>
        <v>0</v>
      </c>
    </row>
    <row r="460">
      <c r="A460" s="44" t="s">
        <v>679</v>
      </c>
      <c r="B460" s="45" t="s">
        <v>172</v>
      </c>
      <c r="C460" s="45" t="s">
        <v>97</v>
      </c>
      <c r="D460" s="49"/>
      <c r="E460" s="46">
        <f>if(ISNA(vlookup($A460, ESPN!$B$2:$E$281, 4, false)), 0, vlookup($A460, ESPN!$B$2:$E$281, 4, false))</f>
        <v>0</v>
      </c>
      <c r="F460" s="46">
        <f>if(ISNA(vlookup($A460, Scout.com!$B$2:$E$239, 4, false)), 0, vlookup($A460, Scout.com!$B$2:$E$239, 4, false))</f>
        <v>0</v>
      </c>
      <c r="G460" s="46">
        <f>if(ISNA(vlookup($A460, FantasyPro!$B$2:$E$318, 4, false)), 0, vlookup($A460, FantasyPro!$B$2:$E$318, 4, false))</f>
        <v>0</v>
      </c>
      <c r="H460" s="46">
        <f>if(ISNA(vlookup($A460, RotoWire!$B$2:$E$681, 4, false)), 0, vlookup($A460, RotoWire!$B$2:$E$681, 4, false))</f>
        <v>0</v>
      </c>
      <c r="I460" s="47">
        <f t="shared" si="1"/>
        <v>0</v>
      </c>
      <c r="J460" s="47">
        <f t="shared" si="2"/>
        <v>0</v>
      </c>
    </row>
    <row r="461">
      <c r="A461" s="44" t="s">
        <v>673</v>
      </c>
      <c r="B461" s="45" t="s">
        <v>172</v>
      </c>
      <c r="C461" s="45" t="s">
        <v>97</v>
      </c>
      <c r="D461" s="49"/>
      <c r="E461" s="46">
        <f>if(ISNA(vlookup($A461, ESPN!$B$2:$E$281, 4, false)), 0, vlookup($A461, ESPN!$B$2:$E$281, 4, false))</f>
        <v>0</v>
      </c>
      <c r="F461" s="46">
        <f>if(ISNA(vlookup($A461, Scout.com!$B$2:$E$239, 4, false)), 0, vlookup($A461, Scout.com!$B$2:$E$239, 4, false))</f>
        <v>0</v>
      </c>
      <c r="G461" s="46">
        <f>if(ISNA(vlookup($A461, FantasyPro!$B$2:$E$318, 4, false)), 0, vlookup($A461, FantasyPro!$B$2:$E$318, 4, false))</f>
        <v>0</v>
      </c>
      <c r="H461" s="46">
        <f>if(ISNA(vlookup($A461, RotoWire!$B$2:$E$681, 4, false)), 0, vlookup($A461, RotoWire!$B$2:$E$681, 4, false))</f>
        <v>0</v>
      </c>
      <c r="I461" s="47">
        <f t="shared" si="1"/>
        <v>0</v>
      </c>
      <c r="J461" s="47">
        <f t="shared" si="2"/>
        <v>0</v>
      </c>
    </row>
    <row r="462">
      <c r="A462" s="44" t="s">
        <v>424</v>
      </c>
      <c r="B462" s="45" t="s">
        <v>32</v>
      </c>
      <c r="C462" s="45" t="s">
        <v>17</v>
      </c>
      <c r="D462" s="45">
        <v>10.0</v>
      </c>
      <c r="E462" s="46">
        <f>if(ISNA(vlookup($A462, ESPN!$B$2:$E$281, 4, false)), 0, vlookup($A462, ESPN!$B$2:$E$281, 4, false))</f>
        <v>0</v>
      </c>
      <c r="F462" s="46">
        <f>if(ISNA(vlookup($A462, Scout.com!$B$2:$E$239, 4, false)), 0, vlookup($A462, Scout.com!$B$2:$E$239, 4, false))</f>
        <v>0</v>
      </c>
      <c r="G462" s="46">
        <f>if(ISNA(vlookup($A462, FantasyPro!$B$2:$E$318, 4, false)), 0, vlookup($A462, FantasyPro!$B$2:$E$318, 4, false))</f>
        <v>0</v>
      </c>
      <c r="H462" s="46">
        <f>if(ISNA(vlookup($A462, RotoWire!$B$2:$E$681, 4, false)), 0, vlookup($A462, RotoWire!$B$2:$E$681, 4, false))</f>
        <v>0</v>
      </c>
      <c r="I462" s="47">
        <f t="shared" si="1"/>
        <v>0</v>
      </c>
      <c r="J462" s="47">
        <f t="shared" si="2"/>
        <v>0</v>
      </c>
    </row>
    <row r="463">
      <c r="A463" s="44" t="s">
        <v>527</v>
      </c>
      <c r="B463" s="45" t="s">
        <v>41</v>
      </c>
      <c r="C463" s="45" t="s">
        <v>7</v>
      </c>
      <c r="D463" s="45">
        <v>4.0</v>
      </c>
      <c r="E463" s="46">
        <f>if(ISNA(vlookup($A463, ESPN!$B$2:$E$281, 4, false)), 0, vlookup($A463, ESPN!$B$2:$E$281, 4, false))</f>
        <v>0</v>
      </c>
      <c r="F463" s="46">
        <f>if(ISNA(vlookup($A463, Scout.com!$B$2:$E$239, 4, false)), 0, vlookup($A463, Scout.com!$B$2:$E$239, 4, false))</f>
        <v>0</v>
      </c>
      <c r="G463" s="46">
        <f>if(ISNA(vlookup($A463, FantasyPro!$B$2:$E$318, 4, false)), 0, vlookup($A463, FantasyPro!$B$2:$E$318, 4, false))</f>
        <v>0</v>
      </c>
      <c r="H463" s="46">
        <f>if(ISNA(vlookup($A463, RotoWire!$B$2:$E$681, 4, false)), 0, vlookup($A463, RotoWire!$B$2:$E$681, 4, false))</f>
        <v>0</v>
      </c>
      <c r="I463" s="47">
        <f t="shared" si="1"/>
        <v>0</v>
      </c>
      <c r="J463" s="47">
        <f t="shared" si="2"/>
        <v>0</v>
      </c>
    </row>
    <row r="464">
      <c r="A464" s="44" t="s">
        <v>237</v>
      </c>
      <c r="B464" s="45" t="s">
        <v>88</v>
      </c>
      <c r="C464" s="45" t="s">
        <v>7</v>
      </c>
      <c r="D464" s="45">
        <v>10.0</v>
      </c>
      <c r="E464" s="46">
        <f>if(ISNA(vlookup($A464, ESPN!$B$2:$E$281, 4, false)), 0, vlookup($A464, ESPN!$B$2:$E$281, 4, false))</f>
        <v>0</v>
      </c>
      <c r="F464" s="46">
        <f>if(ISNA(vlookup($A464, Scout.com!$B$2:$E$239, 4, false)), 0, vlookup($A464, Scout.com!$B$2:$E$239, 4, false))</f>
        <v>0</v>
      </c>
      <c r="G464" s="46">
        <f>if(ISNA(vlookup($A464, FantasyPro!$B$2:$E$318, 4, false)), 0, vlookup($A464, FantasyPro!$B$2:$E$318, 4, false))</f>
        <v>0</v>
      </c>
      <c r="H464" s="46">
        <f>if(ISNA(vlookup($A464, RotoWire!$B$2:$E$681, 4, false)), 0, vlookup($A464, RotoWire!$B$2:$E$681, 4, false))</f>
        <v>0</v>
      </c>
      <c r="I464" s="47">
        <f t="shared" si="1"/>
        <v>0</v>
      </c>
      <c r="J464" s="47">
        <f t="shared" si="2"/>
        <v>0</v>
      </c>
    </row>
    <row r="465">
      <c r="A465" s="44" t="s">
        <v>528</v>
      </c>
      <c r="B465" s="45" t="s">
        <v>15</v>
      </c>
      <c r="C465" s="45" t="s">
        <v>17</v>
      </c>
      <c r="D465" s="45">
        <v>11.0</v>
      </c>
      <c r="E465" s="46">
        <f>if(ISNA(vlookup($A465, ESPN!$B$2:$E$281, 4, false)), 0, vlookup($A465, ESPN!$B$2:$E$281, 4, false))</f>
        <v>0</v>
      </c>
      <c r="F465" s="46">
        <f>if(ISNA(vlookup($A465, Scout.com!$B$2:$E$239, 4, false)), 0, vlookup($A465, Scout.com!$B$2:$E$239, 4, false))</f>
        <v>0</v>
      </c>
      <c r="G465" s="46">
        <f>if(ISNA(vlookup($A465, FantasyPro!$B$2:$E$318, 4, false)), 0, vlookup($A465, FantasyPro!$B$2:$E$318, 4, false))</f>
        <v>0</v>
      </c>
      <c r="H465" s="46">
        <f>if(ISNA(vlookup($A465, RotoWire!$B$2:$E$681, 4, false)), 0, vlookup($A465, RotoWire!$B$2:$E$681, 4, false))</f>
        <v>0</v>
      </c>
      <c r="I465" s="47">
        <f t="shared" si="1"/>
        <v>0</v>
      </c>
      <c r="J465" s="47">
        <f t="shared" si="2"/>
        <v>0</v>
      </c>
    </row>
    <row r="466">
      <c r="A466" s="44" t="s">
        <v>458</v>
      </c>
      <c r="B466" s="45" t="s">
        <v>28</v>
      </c>
      <c r="C466" s="45" t="s">
        <v>7</v>
      </c>
      <c r="D466" s="45">
        <v>12.0</v>
      </c>
      <c r="E466" s="46">
        <f>if(ISNA(vlookup($A466, ESPN!$B$2:$E$281, 4, false)), 0, vlookup($A466, ESPN!$B$2:$E$281, 4, false))</f>
        <v>0</v>
      </c>
      <c r="F466" s="46">
        <f>if(ISNA(vlookup($A466, Scout.com!$B$2:$E$239, 4, false)), 0, vlookup($A466, Scout.com!$B$2:$E$239, 4, false))</f>
        <v>0</v>
      </c>
      <c r="G466" s="46">
        <f>if(ISNA(vlookup($A466, FantasyPro!$B$2:$E$318, 4, false)), 0, vlookup($A466, FantasyPro!$B$2:$E$318, 4, false))</f>
        <v>0</v>
      </c>
      <c r="H466" s="46">
        <f>if(ISNA(vlookup($A466, RotoWire!$B$2:$E$681, 4, false)), 0, vlookup($A466, RotoWire!$B$2:$E$681, 4, false))</f>
        <v>0</v>
      </c>
      <c r="I466" s="47">
        <f t="shared" si="1"/>
        <v>0</v>
      </c>
      <c r="J466" s="47">
        <f t="shared" si="2"/>
        <v>0</v>
      </c>
    </row>
    <row r="467">
      <c r="A467" s="44" t="s">
        <v>664</v>
      </c>
      <c r="B467" s="45" t="s">
        <v>123</v>
      </c>
      <c r="C467" s="45" t="s">
        <v>97</v>
      </c>
      <c r="D467" s="45">
        <v>4.0</v>
      </c>
      <c r="E467" s="46">
        <f>if(ISNA(vlookup($A467, ESPN!$B$2:$E$281, 4, false)), 0, vlookup($A467, ESPN!$B$2:$E$281, 4, false))</f>
        <v>0</v>
      </c>
      <c r="F467" s="46">
        <f>if(ISNA(vlookup($A467, Scout.com!$B$2:$E$239, 4, false)), 0, vlookup($A467, Scout.com!$B$2:$E$239, 4, false))</f>
        <v>0</v>
      </c>
      <c r="G467" s="46">
        <f>if(ISNA(vlookup($A467, FantasyPro!$B$2:$E$318, 4, false)), 0, vlookup($A467, FantasyPro!$B$2:$E$318, 4, false))</f>
        <v>0</v>
      </c>
      <c r="H467" s="46">
        <f>if(ISNA(vlookup($A467, RotoWire!$B$2:$E$681, 4, false)), 0, vlookup($A467, RotoWire!$B$2:$E$681, 4, false))</f>
        <v>0</v>
      </c>
      <c r="I467" s="47">
        <f t="shared" si="1"/>
        <v>0</v>
      </c>
      <c r="J467" s="47">
        <f t="shared" si="2"/>
        <v>0</v>
      </c>
    </row>
    <row r="468">
      <c r="A468" s="44" t="s">
        <v>438</v>
      </c>
      <c r="B468" s="45" t="s">
        <v>51</v>
      </c>
      <c r="C468" s="45" t="s">
        <v>17</v>
      </c>
      <c r="D468" s="45">
        <v>5.0</v>
      </c>
      <c r="E468" s="46">
        <f>if(ISNA(vlookup($A468, ESPN!$B$2:$E$281, 4, false)), 0, vlookup($A468, ESPN!$B$2:$E$281, 4, false))</f>
        <v>0</v>
      </c>
      <c r="F468" s="46">
        <f>if(ISNA(vlookup($A468, Scout.com!$B$2:$E$239, 4, false)), 0, vlookup($A468, Scout.com!$B$2:$E$239, 4, false))</f>
        <v>0</v>
      </c>
      <c r="G468" s="46">
        <f>if(ISNA(vlookup($A468, FantasyPro!$B$2:$E$318, 4, false)), 0, vlookup($A468, FantasyPro!$B$2:$E$318, 4, false))</f>
        <v>0</v>
      </c>
      <c r="H468" s="46">
        <f>if(ISNA(vlookup($A468, RotoWire!$B$2:$E$681, 4, false)), 0, vlookup($A468, RotoWire!$B$2:$E$681, 4, false))</f>
        <v>0</v>
      </c>
      <c r="I468" s="47">
        <f t="shared" si="1"/>
        <v>0</v>
      </c>
      <c r="J468" s="47">
        <f t="shared" si="2"/>
        <v>0</v>
      </c>
    </row>
    <row r="469">
      <c r="A469" s="44" t="s">
        <v>583</v>
      </c>
      <c r="B469" s="45" t="s">
        <v>172</v>
      </c>
      <c r="C469" s="45" t="s">
        <v>7</v>
      </c>
      <c r="D469" s="49"/>
      <c r="E469" s="46">
        <f>if(ISNA(vlookup($A469, ESPN!$B$2:$E$281, 4, false)), 0, vlookup($A469, ESPN!$B$2:$E$281, 4, false))</f>
        <v>0</v>
      </c>
      <c r="F469" s="46">
        <f>if(ISNA(vlookup($A469, Scout.com!$B$2:$E$239, 4, false)), 0, vlookup($A469, Scout.com!$B$2:$E$239, 4, false))</f>
        <v>0</v>
      </c>
      <c r="G469" s="46">
        <f>if(ISNA(vlookup($A469, FantasyPro!$B$2:$E$318, 4, false)), 0, vlookup($A469, FantasyPro!$B$2:$E$318, 4, false))</f>
        <v>0</v>
      </c>
      <c r="H469" s="46">
        <f>if(ISNA(vlookup($A469, RotoWire!$B$2:$E$681, 4, false)), 0, vlookup($A469, RotoWire!$B$2:$E$681, 4, false))</f>
        <v>0</v>
      </c>
      <c r="I469" s="47">
        <f t="shared" si="1"/>
        <v>0</v>
      </c>
      <c r="J469" s="47">
        <f t="shared" si="2"/>
        <v>0</v>
      </c>
    </row>
    <row r="470">
      <c r="A470" s="44" t="s">
        <v>553</v>
      </c>
      <c r="B470" s="45" t="s">
        <v>32</v>
      </c>
      <c r="C470" s="45" t="s">
        <v>17</v>
      </c>
      <c r="D470" s="45">
        <v>10.0</v>
      </c>
      <c r="E470" s="46">
        <f>if(ISNA(vlookup($A470, ESPN!$B$2:$E$281, 4, false)), 0, vlookup($A470, ESPN!$B$2:$E$281, 4, false))</f>
        <v>0</v>
      </c>
      <c r="F470" s="46">
        <f>if(ISNA(vlookup($A470, Scout.com!$B$2:$E$239, 4, false)), 0, vlookup($A470, Scout.com!$B$2:$E$239, 4, false))</f>
        <v>0</v>
      </c>
      <c r="G470" s="46">
        <f>if(ISNA(vlookup($A470, FantasyPro!$B$2:$E$318, 4, false)), 0, vlookup($A470, FantasyPro!$B$2:$E$318, 4, false))</f>
        <v>0</v>
      </c>
      <c r="H470" s="46">
        <f>if(ISNA(vlookup($A470, RotoWire!$B$2:$E$681, 4, false)), 0, vlookup($A470, RotoWire!$B$2:$E$681, 4, false))</f>
        <v>0</v>
      </c>
      <c r="I470" s="47">
        <f t="shared" si="1"/>
        <v>0</v>
      </c>
      <c r="J470" s="47">
        <f t="shared" si="2"/>
        <v>0</v>
      </c>
    </row>
    <row r="471">
      <c r="A471" s="44" t="s">
        <v>683</v>
      </c>
      <c r="B471" s="45" t="s">
        <v>23</v>
      </c>
      <c r="C471" s="45" t="s">
        <v>97</v>
      </c>
      <c r="D471" s="45">
        <v>8.0</v>
      </c>
      <c r="E471" s="46">
        <f>if(ISNA(vlookup($A471, ESPN!$B$2:$E$281, 4, false)), 0, vlookup($A471, ESPN!$B$2:$E$281, 4, false))</f>
        <v>0</v>
      </c>
      <c r="F471" s="46">
        <f>if(ISNA(vlookup($A471, Scout.com!$B$2:$E$239, 4, false)), 0, vlookup($A471, Scout.com!$B$2:$E$239, 4, false))</f>
        <v>0</v>
      </c>
      <c r="G471" s="46">
        <f>if(ISNA(vlookup($A471, FantasyPro!$B$2:$E$318, 4, false)), 0, vlookup($A471, FantasyPro!$B$2:$E$318, 4, false))</f>
        <v>0</v>
      </c>
      <c r="H471" s="46">
        <f>if(ISNA(vlookup($A471, RotoWire!$B$2:$E$681, 4, false)), 0, vlookup($A471, RotoWire!$B$2:$E$681, 4, false))</f>
        <v>0</v>
      </c>
      <c r="I471" s="47">
        <f t="shared" si="1"/>
        <v>0</v>
      </c>
      <c r="J471" s="47">
        <f t="shared" si="2"/>
        <v>0</v>
      </c>
    </row>
    <row r="472">
      <c r="A472" s="44" t="s">
        <v>361</v>
      </c>
      <c r="B472" s="45" t="s">
        <v>72</v>
      </c>
      <c r="C472" s="45" t="s">
        <v>7</v>
      </c>
      <c r="D472" s="45">
        <v>11.0</v>
      </c>
      <c r="E472" s="46">
        <f>if(ISNA(vlookup($A472, ESPN!$B$2:$E$281, 4, false)), 0, vlookup($A472, ESPN!$B$2:$E$281, 4, false))</f>
        <v>0</v>
      </c>
      <c r="F472" s="46">
        <f>if(ISNA(vlookup($A472, Scout.com!$B$2:$E$239, 4, false)), 0, vlookup($A472, Scout.com!$B$2:$E$239, 4, false))</f>
        <v>0</v>
      </c>
      <c r="G472" s="46">
        <f>if(ISNA(vlookup($A472, FantasyPro!$B$2:$E$318, 4, false)), 0, vlookup($A472, FantasyPro!$B$2:$E$318, 4, false))</f>
        <v>0</v>
      </c>
      <c r="H472" s="46">
        <f>if(ISNA(vlookup($A472, RotoWire!$B$2:$E$681, 4, false)), 0, vlookup($A472, RotoWire!$B$2:$E$681, 4, false))</f>
        <v>0</v>
      </c>
      <c r="I472" s="47">
        <f t="shared" si="1"/>
        <v>0</v>
      </c>
      <c r="J472" s="47">
        <f t="shared" si="2"/>
        <v>0</v>
      </c>
    </row>
    <row r="473">
      <c r="A473" s="44" t="s">
        <v>500</v>
      </c>
      <c r="B473" s="45" t="s">
        <v>172</v>
      </c>
      <c r="C473" s="45" t="s">
        <v>7</v>
      </c>
      <c r="D473" s="49"/>
      <c r="E473" s="46">
        <f>if(ISNA(vlookup($A473, ESPN!$B$2:$E$281, 4, false)), 0, vlookup($A473, ESPN!$B$2:$E$281, 4, false))</f>
        <v>0</v>
      </c>
      <c r="F473" s="46">
        <f>if(ISNA(vlookup($A473, Scout.com!$B$2:$E$239, 4, false)), 0, vlookup($A473, Scout.com!$B$2:$E$239, 4, false))</f>
        <v>0</v>
      </c>
      <c r="G473" s="46">
        <f>if(ISNA(vlookup($A473, FantasyPro!$B$2:$E$318, 4, false)), 0, vlookup($A473, FantasyPro!$B$2:$E$318, 4, false))</f>
        <v>0</v>
      </c>
      <c r="H473" s="46">
        <f>if(ISNA(vlookup($A473, RotoWire!$B$2:$E$681, 4, false)), 0, vlookup($A473, RotoWire!$B$2:$E$681, 4, false))</f>
        <v>0</v>
      </c>
      <c r="I473" s="47">
        <f t="shared" si="1"/>
        <v>0</v>
      </c>
      <c r="J473" s="47">
        <f t="shared" si="2"/>
        <v>0</v>
      </c>
    </row>
    <row r="474">
      <c r="A474" s="44" t="s">
        <v>556</v>
      </c>
      <c r="B474" s="45" t="s">
        <v>47</v>
      </c>
      <c r="C474" s="45" t="s">
        <v>43</v>
      </c>
      <c r="D474" s="45">
        <v>7.0</v>
      </c>
      <c r="E474" s="46">
        <f>if(ISNA(vlookup($A474, ESPN!$B$2:$E$281, 4, false)), 0, vlookup($A474, ESPN!$B$2:$E$281, 4, false))</f>
        <v>0</v>
      </c>
      <c r="F474" s="46">
        <f>if(ISNA(vlookup($A474, Scout.com!$B$2:$E$239, 4, false)), 0, vlookup($A474, Scout.com!$B$2:$E$239, 4, false))</f>
        <v>0</v>
      </c>
      <c r="G474" s="46">
        <f>if(ISNA(vlookup($A474, FantasyPro!$B$2:$E$318, 4, false)), 0, vlookup($A474, FantasyPro!$B$2:$E$318, 4, false))</f>
        <v>0</v>
      </c>
      <c r="H474" s="46">
        <f>if(ISNA(vlookup($A474, RotoWire!$B$2:$E$681, 4, false)), 0, vlookup($A474, RotoWire!$B$2:$E$681, 4, false))</f>
        <v>0</v>
      </c>
      <c r="I474" s="47">
        <f t="shared" si="1"/>
        <v>0</v>
      </c>
      <c r="J474" s="47">
        <f t="shared" si="2"/>
        <v>0</v>
      </c>
    </row>
    <row r="475">
      <c r="A475" s="44" t="s">
        <v>643</v>
      </c>
      <c r="B475" s="45" t="s">
        <v>6</v>
      </c>
      <c r="C475" s="45" t="s">
        <v>97</v>
      </c>
      <c r="D475" s="45">
        <v>7.0</v>
      </c>
      <c r="E475" s="46">
        <f>if(ISNA(vlookup($A475, ESPN!$B$2:$E$281, 4, false)), 0, vlookup($A475, ESPN!$B$2:$E$281, 4, false))</f>
        <v>0</v>
      </c>
      <c r="F475" s="46">
        <f>if(ISNA(vlookup($A475, Scout.com!$B$2:$E$239, 4, false)), 0, vlookup($A475, Scout.com!$B$2:$E$239, 4, false))</f>
        <v>0</v>
      </c>
      <c r="G475" s="46">
        <f>if(ISNA(vlookup($A475, FantasyPro!$B$2:$E$318, 4, false)), 0, vlookup($A475, FantasyPro!$B$2:$E$318, 4, false))</f>
        <v>0</v>
      </c>
      <c r="H475" s="46">
        <f>if(ISNA(vlookup($A475, RotoWire!$B$2:$E$681, 4, false)), 0, vlookup($A475, RotoWire!$B$2:$E$681, 4, false))</f>
        <v>0</v>
      </c>
      <c r="I475" s="47">
        <f t="shared" si="1"/>
        <v>0</v>
      </c>
      <c r="J475" s="47">
        <f t="shared" si="2"/>
        <v>0</v>
      </c>
    </row>
    <row r="476">
      <c r="A476" s="44" t="s">
        <v>488</v>
      </c>
      <c r="B476" s="45" t="s">
        <v>32</v>
      </c>
      <c r="C476" s="45" t="s">
        <v>17</v>
      </c>
      <c r="D476" s="45">
        <v>10.0</v>
      </c>
      <c r="E476" s="46">
        <f>if(ISNA(vlookup($A476, ESPN!$B$2:$E$281, 4, false)), 0, vlookup($A476, ESPN!$B$2:$E$281, 4, false))</f>
        <v>0</v>
      </c>
      <c r="F476" s="46">
        <f>if(ISNA(vlookup($A476, Scout.com!$B$2:$E$239, 4, false)), 0, vlookup($A476, Scout.com!$B$2:$E$239, 4, false))</f>
        <v>0</v>
      </c>
      <c r="G476" s="46">
        <f>if(ISNA(vlookup($A476, FantasyPro!$B$2:$E$318, 4, false)), 0, vlookup($A476, FantasyPro!$B$2:$E$318, 4, false))</f>
        <v>0</v>
      </c>
      <c r="H476" s="46">
        <f>if(ISNA(vlookup($A476, RotoWire!$B$2:$E$681, 4, false)), 0, vlookup($A476, RotoWire!$B$2:$E$681, 4, false))</f>
        <v>0</v>
      </c>
      <c r="I476" s="47">
        <f t="shared" si="1"/>
        <v>0</v>
      </c>
      <c r="J476" s="47">
        <f t="shared" si="2"/>
        <v>0</v>
      </c>
    </row>
    <row r="477">
      <c r="A477" s="44" t="s">
        <v>564</v>
      </c>
      <c r="B477" s="45" t="s">
        <v>45</v>
      </c>
      <c r="C477" s="45" t="s">
        <v>17</v>
      </c>
      <c r="D477" s="45">
        <v>11.0</v>
      </c>
      <c r="E477" s="46">
        <f>if(ISNA(vlookup($A477, ESPN!$B$2:$E$281, 4, false)), 0, vlookup($A477, ESPN!$B$2:$E$281, 4, false))</f>
        <v>0</v>
      </c>
      <c r="F477" s="46">
        <f>if(ISNA(vlookup($A477, Scout.com!$B$2:$E$239, 4, false)), 0, vlookup($A477, Scout.com!$B$2:$E$239, 4, false))</f>
        <v>0</v>
      </c>
      <c r="G477" s="46">
        <f>if(ISNA(vlookup($A477, FantasyPro!$B$2:$E$318, 4, false)), 0, vlookup($A477, FantasyPro!$B$2:$E$318, 4, false))</f>
        <v>0</v>
      </c>
      <c r="H477" s="46">
        <f>if(ISNA(vlookup($A477, RotoWire!$B$2:$E$681, 4, false)), 0, vlookup($A477, RotoWire!$B$2:$E$681, 4, false))</f>
        <v>0</v>
      </c>
      <c r="I477" s="47">
        <f t="shared" si="1"/>
        <v>0</v>
      </c>
      <c r="J477" s="47">
        <f t="shared" si="2"/>
        <v>0</v>
      </c>
    </row>
    <row r="478">
      <c r="A478" s="44" t="s">
        <v>594</v>
      </c>
      <c r="B478" s="45" t="s">
        <v>77</v>
      </c>
      <c r="C478" s="45" t="s">
        <v>43</v>
      </c>
      <c r="D478" s="45">
        <v>6.0</v>
      </c>
      <c r="E478" s="46">
        <f>if(ISNA(vlookup($A478, ESPN!$B$2:$E$281, 4, false)), 0, vlookup($A478, ESPN!$B$2:$E$281, 4, false))</f>
        <v>0</v>
      </c>
      <c r="F478" s="46">
        <f>if(ISNA(vlookup($A478, Scout.com!$B$2:$E$239, 4, false)), 0, vlookup($A478, Scout.com!$B$2:$E$239, 4, false))</f>
        <v>0</v>
      </c>
      <c r="G478" s="46">
        <f>if(ISNA(vlookup($A478, FantasyPro!$B$2:$E$318, 4, false)), 0, vlookup($A478, FantasyPro!$B$2:$E$318, 4, false))</f>
        <v>0</v>
      </c>
      <c r="H478" s="46">
        <f>if(ISNA(vlookup($A478, RotoWire!$B$2:$E$681, 4, false)), 0, vlookup($A478, RotoWire!$B$2:$E$681, 4, false))</f>
        <v>0</v>
      </c>
      <c r="I478" s="47">
        <f t="shared" si="1"/>
        <v>0</v>
      </c>
      <c r="J478" s="47">
        <f t="shared" si="2"/>
        <v>0</v>
      </c>
    </row>
    <row r="479">
      <c r="A479" s="44" t="s">
        <v>687</v>
      </c>
      <c r="B479" s="45" t="s">
        <v>39</v>
      </c>
      <c r="C479" s="45" t="s">
        <v>97</v>
      </c>
      <c r="D479" s="45">
        <v>9.0</v>
      </c>
      <c r="E479" s="46">
        <f>if(ISNA(vlookup($A479, ESPN!$B$2:$E$281, 4, false)), 0, vlookup($A479, ESPN!$B$2:$E$281, 4, false))</f>
        <v>0</v>
      </c>
      <c r="F479" s="46">
        <f>if(ISNA(vlookup($A479, Scout.com!$B$2:$E$239, 4, false)), 0, vlookup($A479, Scout.com!$B$2:$E$239, 4, false))</f>
        <v>0</v>
      </c>
      <c r="G479" s="46">
        <f>if(ISNA(vlookup($A479, FantasyPro!$B$2:$E$318, 4, false)), 0, vlookup($A479, FantasyPro!$B$2:$E$318, 4, false))</f>
        <v>0</v>
      </c>
      <c r="H479" s="46">
        <f>if(ISNA(vlookup($A479, RotoWire!$B$2:$E$681, 4, false)), 0, vlookup($A479, RotoWire!$B$2:$E$681, 4, false))</f>
        <v>0</v>
      </c>
      <c r="I479" s="47">
        <f t="shared" si="1"/>
        <v>0</v>
      </c>
      <c r="J479" s="47">
        <f t="shared" si="2"/>
        <v>0</v>
      </c>
    </row>
    <row r="480">
      <c r="A480" s="44" t="s">
        <v>696</v>
      </c>
      <c r="B480" s="45" t="s">
        <v>34</v>
      </c>
      <c r="C480" s="45" t="s">
        <v>199</v>
      </c>
      <c r="D480" s="45">
        <v>8.0</v>
      </c>
      <c r="E480" s="46">
        <f>if(ISNA(vlookup($A480, ESPN!$B$2:$E$281, 4, false)), 0, vlookup($A480, ESPN!$B$2:$E$281, 4, false))</f>
        <v>0</v>
      </c>
      <c r="F480" s="46">
        <f>if(ISNA(vlookup($A480, Scout.com!$B$2:$E$239, 4, false)), 0, vlookup($A480, Scout.com!$B$2:$E$239, 4, false))</f>
        <v>0</v>
      </c>
      <c r="G480" s="46">
        <f>if(ISNA(vlookup($A480, FantasyPro!$B$2:$E$318, 4, false)), 0, vlookup($A480, FantasyPro!$B$2:$E$318, 4, false))</f>
        <v>0</v>
      </c>
      <c r="H480" s="46">
        <f>if(ISNA(vlookup($A480, RotoWire!$B$2:$E$681, 4, false)), 0, vlookup($A480, RotoWire!$B$2:$E$681, 4, false))</f>
        <v>0</v>
      </c>
      <c r="I480" s="47">
        <f t="shared" si="1"/>
        <v>0</v>
      </c>
      <c r="J480" s="47">
        <f t="shared" si="2"/>
        <v>0</v>
      </c>
    </row>
    <row r="481">
      <c r="A481" s="44" t="s">
        <v>652</v>
      </c>
      <c r="B481" s="45" t="s">
        <v>83</v>
      </c>
      <c r="C481" s="45" t="s">
        <v>97</v>
      </c>
      <c r="D481" s="45">
        <v>8.0</v>
      </c>
      <c r="E481" s="46">
        <f>if(ISNA(vlookup($A481, ESPN!$B$2:$E$281, 4, false)), 0, vlookup($A481, ESPN!$B$2:$E$281, 4, false))</f>
        <v>0</v>
      </c>
      <c r="F481" s="46">
        <f>if(ISNA(vlookup($A481, Scout.com!$B$2:$E$239, 4, false)), 0, vlookup($A481, Scout.com!$B$2:$E$239, 4, false))</f>
        <v>0</v>
      </c>
      <c r="G481" s="46">
        <f>if(ISNA(vlookup($A481, FantasyPro!$B$2:$E$318, 4, false)), 0, vlookup($A481, FantasyPro!$B$2:$E$318, 4, false))</f>
        <v>0</v>
      </c>
      <c r="H481" s="46">
        <f>if(ISNA(vlookup($A481, RotoWire!$B$2:$E$681, 4, false)), 0, vlookup($A481, RotoWire!$B$2:$E$681, 4, false))</f>
        <v>0</v>
      </c>
      <c r="I481" s="47">
        <f t="shared" si="1"/>
        <v>0</v>
      </c>
      <c r="J481" s="47">
        <f t="shared" si="2"/>
        <v>0</v>
      </c>
    </row>
    <row r="482">
      <c r="A482" s="44" t="s">
        <v>434</v>
      </c>
      <c r="B482" s="45" t="s">
        <v>77</v>
      </c>
      <c r="C482" s="45" t="s">
        <v>43</v>
      </c>
      <c r="D482" s="45">
        <v>6.0</v>
      </c>
      <c r="E482" s="46">
        <f>if(ISNA(vlookup($A482, ESPN!$B$2:$E$281, 4, false)), 0, vlookup($A482, ESPN!$B$2:$E$281, 4, false))</f>
        <v>0</v>
      </c>
      <c r="F482" s="46">
        <f>if(ISNA(vlookup($A482, Scout.com!$B$2:$E$239, 4, false)), 0, vlookup($A482, Scout.com!$B$2:$E$239, 4, false))</f>
        <v>0</v>
      </c>
      <c r="G482" s="46">
        <f>if(ISNA(vlookup($A482, FantasyPro!$B$2:$E$318, 4, false)), 0, vlookup($A482, FantasyPro!$B$2:$E$318, 4, false))</f>
        <v>0</v>
      </c>
      <c r="H482" s="46">
        <f>if(ISNA(vlookup($A482, RotoWire!$B$2:$E$681, 4, false)), 0, vlookup($A482, RotoWire!$B$2:$E$681, 4, false))</f>
        <v>0</v>
      </c>
      <c r="I482" s="47">
        <f t="shared" si="1"/>
        <v>0</v>
      </c>
      <c r="J482" s="47">
        <f t="shared" si="2"/>
        <v>0</v>
      </c>
    </row>
    <row r="483">
      <c r="A483" s="44" t="s">
        <v>534</v>
      </c>
      <c r="B483" s="45" t="s">
        <v>32</v>
      </c>
      <c r="C483" s="45" t="s">
        <v>7</v>
      </c>
      <c r="D483" s="45">
        <v>10.0</v>
      </c>
      <c r="E483" s="46">
        <f>if(ISNA(vlookup($A483, ESPN!$B$2:$E$281, 4, false)), 0, vlookup($A483, ESPN!$B$2:$E$281, 4, false))</f>
        <v>0</v>
      </c>
      <c r="F483" s="46">
        <f>if(ISNA(vlookup($A483, Scout.com!$B$2:$E$239, 4, false)), 0, vlookup($A483, Scout.com!$B$2:$E$239, 4, false))</f>
        <v>0</v>
      </c>
      <c r="G483" s="46">
        <f>if(ISNA(vlookup($A483, FantasyPro!$B$2:$E$318, 4, false)), 0, vlookup($A483, FantasyPro!$B$2:$E$318, 4, false))</f>
        <v>0</v>
      </c>
      <c r="H483" s="46">
        <f>if(ISNA(vlookup($A483, RotoWire!$B$2:$E$681, 4, false)), 0, vlookup($A483, RotoWire!$B$2:$E$681, 4, false))</f>
        <v>0</v>
      </c>
      <c r="I483" s="47">
        <f t="shared" si="1"/>
        <v>0</v>
      </c>
      <c r="J483" s="47">
        <f t="shared" si="2"/>
        <v>0</v>
      </c>
    </row>
    <row r="484">
      <c r="A484" s="44" t="s">
        <v>477</v>
      </c>
      <c r="B484" s="45" t="s">
        <v>60</v>
      </c>
      <c r="C484" s="45" t="s">
        <v>17</v>
      </c>
      <c r="D484" s="45">
        <v>9.0</v>
      </c>
      <c r="E484" s="46">
        <f>if(ISNA(vlookup($A484, ESPN!$B$2:$E$281, 4, false)), 0, vlookup($A484, ESPN!$B$2:$E$281, 4, false))</f>
        <v>0</v>
      </c>
      <c r="F484" s="46">
        <f>if(ISNA(vlookup($A484, Scout.com!$B$2:$E$239, 4, false)), 0, vlookup($A484, Scout.com!$B$2:$E$239, 4, false))</f>
        <v>0</v>
      </c>
      <c r="G484" s="46">
        <f>if(ISNA(vlookup($A484, FantasyPro!$B$2:$E$318, 4, false)), 0, vlookup($A484, FantasyPro!$B$2:$E$318, 4, false))</f>
        <v>0</v>
      </c>
      <c r="H484" s="46">
        <f>if(ISNA(vlookup($A484, RotoWire!$B$2:$E$681, 4, false)), 0, vlookup($A484, RotoWire!$B$2:$E$681, 4, false))</f>
        <v>0</v>
      </c>
      <c r="I484" s="47">
        <f t="shared" si="1"/>
        <v>0</v>
      </c>
      <c r="J484" s="47">
        <f t="shared" si="2"/>
        <v>0</v>
      </c>
    </row>
    <row r="485">
      <c r="A485" s="44" t="s">
        <v>365</v>
      </c>
      <c r="B485" s="45" t="s">
        <v>9</v>
      </c>
      <c r="C485" s="45" t="s">
        <v>7</v>
      </c>
      <c r="D485" s="45">
        <v>12.0</v>
      </c>
      <c r="E485" s="46">
        <f>if(ISNA(vlookup($A485, ESPN!$B$2:$E$281, 4, false)), 0, vlookup($A485, ESPN!$B$2:$E$281, 4, false))</f>
        <v>0</v>
      </c>
      <c r="F485" s="46">
        <f>if(ISNA(vlookup($A485, Scout.com!$B$2:$E$239, 4, false)), 0, vlookup($A485, Scout.com!$B$2:$E$239, 4, false))</f>
        <v>0</v>
      </c>
      <c r="G485" s="46">
        <f>if(ISNA(vlookup($A485, FantasyPro!$B$2:$E$318, 4, false)), 0, vlookup($A485, FantasyPro!$B$2:$E$318, 4, false))</f>
        <v>0</v>
      </c>
      <c r="H485" s="46">
        <f>if(ISNA(vlookup($A485, RotoWire!$B$2:$E$681, 4, false)), 0, vlookup($A485, RotoWire!$B$2:$E$681, 4, false))</f>
        <v>0</v>
      </c>
      <c r="I485" s="47">
        <f t="shared" si="1"/>
        <v>0</v>
      </c>
      <c r="J485" s="47">
        <f t="shared" si="2"/>
        <v>0</v>
      </c>
    </row>
    <row r="486">
      <c r="A486" s="44" t="s">
        <v>491</v>
      </c>
      <c r="B486" s="45" t="s">
        <v>172</v>
      </c>
      <c r="C486" s="45" t="s">
        <v>17</v>
      </c>
      <c r="D486" s="49"/>
      <c r="E486" s="46">
        <f>if(ISNA(vlookup($A486, ESPN!$B$2:$E$281, 4, false)), 0, vlookup($A486, ESPN!$B$2:$E$281, 4, false))</f>
        <v>0</v>
      </c>
      <c r="F486" s="46">
        <f>if(ISNA(vlookup($A486, Scout.com!$B$2:$E$239, 4, false)), 0, vlookup($A486, Scout.com!$B$2:$E$239, 4, false))</f>
        <v>0</v>
      </c>
      <c r="G486" s="46">
        <f>if(ISNA(vlookup($A486, FantasyPro!$B$2:$E$318, 4, false)), 0, vlookup($A486, FantasyPro!$B$2:$E$318, 4, false))</f>
        <v>0</v>
      </c>
      <c r="H486" s="46">
        <f>if(ISNA(vlookup($A486, RotoWire!$B$2:$E$681, 4, false)), 0, vlookup($A486, RotoWire!$B$2:$E$681, 4, false))</f>
        <v>0</v>
      </c>
      <c r="I486" s="47">
        <f t="shared" si="1"/>
        <v>0</v>
      </c>
      <c r="J486" s="47">
        <f t="shared" si="2"/>
        <v>0</v>
      </c>
    </row>
    <row r="487">
      <c r="A487" s="44" t="s">
        <v>515</v>
      </c>
      <c r="B487" s="45" t="s">
        <v>47</v>
      </c>
      <c r="C487" s="45" t="s">
        <v>43</v>
      </c>
      <c r="D487" s="45">
        <v>7.0</v>
      </c>
      <c r="E487" s="46">
        <f>if(ISNA(vlookup($A487, ESPN!$B$2:$E$281, 4, false)), 0, vlookup($A487, ESPN!$B$2:$E$281, 4, false))</f>
        <v>0</v>
      </c>
      <c r="F487" s="46">
        <f>if(ISNA(vlookup($A487, Scout.com!$B$2:$E$239, 4, false)), 0, vlookup($A487, Scout.com!$B$2:$E$239, 4, false))</f>
        <v>0</v>
      </c>
      <c r="G487" s="46">
        <f>if(ISNA(vlookup($A487, FantasyPro!$B$2:$E$318, 4, false)), 0, vlookup($A487, FantasyPro!$B$2:$E$318, 4, false))</f>
        <v>0</v>
      </c>
      <c r="H487" s="46">
        <f>if(ISNA(vlookup($A487, RotoWire!$B$2:$E$681, 4, false)), 0, vlookup($A487, RotoWire!$B$2:$E$681, 4, false))</f>
        <v>0</v>
      </c>
      <c r="I487" s="47">
        <f t="shared" si="1"/>
        <v>0</v>
      </c>
      <c r="J487" s="47">
        <f t="shared" si="2"/>
        <v>0</v>
      </c>
    </row>
    <row r="488">
      <c r="A488" s="44" t="s">
        <v>591</v>
      </c>
      <c r="B488" s="45" t="s">
        <v>75</v>
      </c>
      <c r="C488" s="45" t="s">
        <v>17</v>
      </c>
      <c r="D488" s="45">
        <v>7.0</v>
      </c>
      <c r="E488" s="46">
        <f>if(ISNA(vlookup($A488, ESPN!$B$2:$E$281, 4, false)), 0, vlookup($A488, ESPN!$B$2:$E$281, 4, false))</f>
        <v>0</v>
      </c>
      <c r="F488" s="46">
        <f>if(ISNA(vlookup($A488, Scout.com!$B$2:$E$239, 4, false)), 0, vlookup($A488, Scout.com!$B$2:$E$239, 4, false))</f>
        <v>0</v>
      </c>
      <c r="G488" s="46">
        <f>if(ISNA(vlookup($A488, FantasyPro!$B$2:$E$318, 4, false)), 0, vlookup($A488, FantasyPro!$B$2:$E$318, 4, false))</f>
        <v>0</v>
      </c>
      <c r="H488" s="46">
        <f>if(ISNA(vlookup($A488, RotoWire!$B$2:$E$681, 4, false)), 0, vlookup($A488, RotoWire!$B$2:$E$681, 4, false))</f>
        <v>0</v>
      </c>
      <c r="I488" s="47">
        <f t="shared" si="1"/>
        <v>0</v>
      </c>
      <c r="J488" s="47">
        <f t="shared" si="2"/>
        <v>0</v>
      </c>
    </row>
    <row r="489">
      <c r="A489" s="44" t="s">
        <v>464</v>
      </c>
      <c r="B489" s="45" t="s">
        <v>88</v>
      </c>
      <c r="C489" s="45" t="s">
        <v>43</v>
      </c>
      <c r="D489" s="45">
        <v>10.0</v>
      </c>
      <c r="E489" s="46">
        <f>if(ISNA(vlookup($A489, ESPN!$B$2:$E$281, 4, false)), 0, vlookup($A489, ESPN!$B$2:$E$281, 4, false))</f>
        <v>0</v>
      </c>
      <c r="F489" s="46">
        <f>if(ISNA(vlookup($A489, Scout.com!$B$2:$E$239, 4, false)), 0, vlookup($A489, Scout.com!$B$2:$E$239, 4, false))</f>
        <v>0</v>
      </c>
      <c r="G489" s="46">
        <f>if(ISNA(vlookup($A489, FantasyPro!$B$2:$E$318, 4, false)), 0, vlookup($A489, FantasyPro!$B$2:$E$318, 4, false))</f>
        <v>0</v>
      </c>
      <c r="H489" s="46">
        <f>if(ISNA(vlookup($A489, RotoWire!$B$2:$E$681, 4, false)), 0, vlookup($A489, RotoWire!$B$2:$E$681, 4, false))</f>
        <v>0</v>
      </c>
      <c r="I489" s="47">
        <f t="shared" si="1"/>
        <v>0</v>
      </c>
      <c r="J489" s="47">
        <f t="shared" si="2"/>
        <v>0</v>
      </c>
    </row>
    <row r="490">
      <c r="A490" s="44" t="s">
        <v>283</v>
      </c>
      <c r="B490" s="45" t="s">
        <v>39</v>
      </c>
      <c r="C490" s="45" t="s">
        <v>7</v>
      </c>
      <c r="D490" s="45">
        <v>9.0</v>
      </c>
      <c r="E490" s="46">
        <f>if(ISNA(vlookup($A490, ESPN!$B$2:$E$281, 4, false)), 0, vlookup($A490, ESPN!$B$2:$E$281, 4, false))</f>
        <v>0</v>
      </c>
      <c r="F490" s="46">
        <f>if(ISNA(vlookup($A490, Scout.com!$B$2:$E$239, 4, false)), 0, vlookup($A490, Scout.com!$B$2:$E$239, 4, false))</f>
        <v>0</v>
      </c>
      <c r="G490" s="46">
        <f>if(ISNA(vlookup($A490, FantasyPro!$B$2:$E$318, 4, false)), 0, vlookup($A490, FantasyPro!$B$2:$E$318, 4, false))</f>
        <v>0</v>
      </c>
      <c r="H490" s="46">
        <f>if(ISNA(vlookup($A490, RotoWire!$B$2:$E$681, 4, false)), 0, vlookup($A490, RotoWire!$B$2:$E$681, 4, false))</f>
        <v>0</v>
      </c>
      <c r="I490" s="47">
        <f t="shared" si="1"/>
        <v>0</v>
      </c>
      <c r="J490" s="47">
        <f t="shared" si="2"/>
        <v>0</v>
      </c>
    </row>
    <row r="491">
      <c r="A491" s="51" t="s">
        <v>510</v>
      </c>
      <c r="B491" s="52" t="s">
        <v>60</v>
      </c>
      <c r="C491" s="52" t="s">
        <v>17</v>
      </c>
      <c r="D491" s="52">
        <v>9.0</v>
      </c>
      <c r="E491" s="46">
        <f>if(ISNA(vlookup($A491, ESPN!$B$2:$E$281, 4, false)), 0, vlookup($A491, ESPN!$B$2:$E$281, 4, false))</f>
        <v>0</v>
      </c>
      <c r="F491" s="46">
        <f>if(ISNA(vlookup($A491, Scout.com!$B$2:$E$239, 4, false)), 0, vlookup($A491, Scout.com!$B$2:$E$239, 4, false))</f>
        <v>0</v>
      </c>
      <c r="G491" s="46">
        <f>if(ISNA(vlookup($A491, FantasyPro!$B$2:$E$318, 4, false)), 0, vlookup($A491, FantasyPro!$B$2:$E$318, 4, false))</f>
        <v>0</v>
      </c>
      <c r="H491" s="46">
        <f>if(ISNA(vlookup($A491, RotoWire!$B$2:$E$681, 4, false)), 0, vlookup($A491, RotoWire!$B$2:$E$681, 4, false))</f>
        <v>0</v>
      </c>
      <c r="I491" s="53">
        <f t="shared" si="1"/>
        <v>0</v>
      </c>
      <c r="J491" s="53">
        <f t="shared" si="2"/>
        <v>0</v>
      </c>
    </row>
    <row r="492">
      <c r="A492" s="51" t="s">
        <v>492</v>
      </c>
      <c r="B492" s="52" t="s">
        <v>47</v>
      </c>
      <c r="C492" s="52" t="s">
        <v>17</v>
      </c>
      <c r="D492" s="52">
        <v>7.0</v>
      </c>
      <c r="E492" s="46">
        <f>if(ISNA(vlookup($A492, ESPN!$B$2:$E$281, 4, false)), 0, vlookup($A492, ESPN!$B$2:$E$281, 4, false))</f>
        <v>0</v>
      </c>
      <c r="F492" s="46">
        <f>if(ISNA(vlookup($A492, Scout.com!$B$2:$E$239, 4, false)), 0, vlookup($A492, Scout.com!$B$2:$E$239, 4, false))</f>
        <v>0</v>
      </c>
      <c r="G492" s="46">
        <f>if(ISNA(vlookup($A492, FantasyPro!$B$2:$E$318, 4, false)), 0, vlookup($A492, FantasyPro!$B$2:$E$318, 4, false))</f>
        <v>0</v>
      </c>
      <c r="H492" s="46">
        <f>if(ISNA(vlookup($A492, RotoWire!$B$2:$E$681, 4, false)), 0, vlookup($A492, RotoWire!$B$2:$E$681, 4, false))</f>
        <v>0</v>
      </c>
      <c r="I492" s="53">
        <f t="shared" si="1"/>
        <v>0</v>
      </c>
      <c r="J492" s="53">
        <f t="shared" si="2"/>
        <v>0</v>
      </c>
    </row>
    <row r="493">
      <c r="A493" s="51" t="s">
        <v>606</v>
      </c>
      <c r="B493" s="52" t="s">
        <v>23</v>
      </c>
      <c r="C493" s="52" t="s">
        <v>17</v>
      </c>
      <c r="D493" s="52">
        <v>8.0</v>
      </c>
      <c r="E493" s="46">
        <f>if(ISNA(vlookup($A493, ESPN!$B$2:$E$281, 4, false)), 0, vlookup($A493, ESPN!$B$2:$E$281, 4, false))</f>
        <v>0</v>
      </c>
      <c r="F493" s="46">
        <f>if(ISNA(vlookup($A493, Scout.com!$B$2:$E$239, 4, false)), 0, vlookup($A493, Scout.com!$B$2:$E$239, 4, false))</f>
        <v>0</v>
      </c>
      <c r="G493" s="46">
        <f>if(ISNA(vlookup($A493, FantasyPro!$B$2:$E$318, 4, false)), 0, vlookup($A493, FantasyPro!$B$2:$E$318, 4, false))</f>
        <v>0</v>
      </c>
      <c r="H493" s="46">
        <f>if(ISNA(vlookup($A493, RotoWire!$B$2:$E$681, 4, false)), 0, vlookup($A493, RotoWire!$B$2:$E$681, 4, false))</f>
        <v>0</v>
      </c>
      <c r="I493" s="53">
        <f t="shared" si="1"/>
        <v>0</v>
      </c>
      <c r="J493" s="53">
        <f t="shared" si="2"/>
        <v>0</v>
      </c>
    </row>
    <row r="494">
      <c r="A494" s="51" t="s">
        <v>655</v>
      </c>
      <c r="B494" s="52" t="s">
        <v>77</v>
      </c>
      <c r="C494" s="52" t="s">
        <v>97</v>
      </c>
      <c r="D494" s="52">
        <v>6.0</v>
      </c>
      <c r="E494" s="46">
        <f>if(ISNA(vlookup($A494, ESPN!$B$2:$E$281, 4, false)), 0, vlookup($A494, ESPN!$B$2:$E$281, 4, false))</f>
        <v>0</v>
      </c>
      <c r="F494" s="46">
        <f>if(ISNA(vlookup($A494, Scout.com!$B$2:$E$239, 4, false)), 0, vlookup($A494, Scout.com!$B$2:$E$239, 4, false))</f>
        <v>0</v>
      </c>
      <c r="G494" s="46">
        <f>if(ISNA(vlookup($A494, FantasyPro!$B$2:$E$318, 4, false)), 0, vlookup($A494, FantasyPro!$B$2:$E$318, 4, false))</f>
        <v>0</v>
      </c>
      <c r="H494" s="46">
        <f>if(ISNA(vlookup($A494, RotoWire!$B$2:$E$681, 4, false)), 0, vlookup($A494, RotoWire!$B$2:$E$681, 4, false))</f>
        <v>0</v>
      </c>
      <c r="I494" s="53">
        <f t="shared" si="1"/>
        <v>0</v>
      </c>
      <c r="J494" s="53">
        <f t="shared" si="2"/>
        <v>0</v>
      </c>
    </row>
    <row r="495">
      <c r="A495" s="51" t="s">
        <v>547</v>
      </c>
      <c r="B495" s="52" t="s">
        <v>67</v>
      </c>
      <c r="C495" s="52" t="s">
        <v>7</v>
      </c>
      <c r="D495" s="52">
        <v>11.0</v>
      </c>
      <c r="E495" s="46">
        <f>if(ISNA(vlookup($A495, ESPN!$B$2:$E$281, 4, false)), 0, vlookup($A495, ESPN!$B$2:$E$281, 4, false))</f>
        <v>0</v>
      </c>
      <c r="F495" s="46">
        <f>if(ISNA(vlookup($A495, Scout.com!$B$2:$E$239, 4, false)), 0, vlookup($A495, Scout.com!$B$2:$E$239, 4, false))</f>
        <v>0</v>
      </c>
      <c r="G495" s="46">
        <f>if(ISNA(vlookup($A495, FantasyPro!$B$2:$E$318, 4, false)), 0, vlookup($A495, FantasyPro!$B$2:$E$318, 4, false))</f>
        <v>0</v>
      </c>
      <c r="H495" s="46">
        <f>if(ISNA(vlookup($A495, RotoWire!$B$2:$E$681, 4, false)), 0, vlookup($A495, RotoWire!$B$2:$E$681, 4, false))</f>
        <v>0</v>
      </c>
      <c r="I495" s="53">
        <f t="shared" si="1"/>
        <v>0</v>
      </c>
      <c r="J495" s="53">
        <f t="shared" si="2"/>
        <v>0</v>
      </c>
    </row>
    <row r="496">
      <c r="A496" s="51" t="s">
        <v>572</v>
      </c>
      <c r="B496" s="52" t="s">
        <v>60</v>
      </c>
      <c r="C496" s="52" t="s">
        <v>7</v>
      </c>
      <c r="D496" s="52">
        <v>9.0</v>
      </c>
      <c r="E496" s="46">
        <f>if(ISNA(vlookup($A496, ESPN!$B$2:$E$281, 4, false)), 0, vlookup($A496, ESPN!$B$2:$E$281, 4, false))</f>
        <v>0</v>
      </c>
      <c r="F496" s="46">
        <f>if(ISNA(vlookup($A496, Scout.com!$B$2:$E$239, 4, false)), 0, vlookup($A496, Scout.com!$B$2:$E$239, 4, false))</f>
        <v>0</v>
      </c>
      <c r="G496" s="46">
        <f>if(ISNA(vlookup($A496, FantasyPro!$B$2:$E$318, 4, false)), 0, vlookup($A496, FantasyPro!$B$2:$E$318, 4, false))</f>
        <v>0</v>
      </c>
      <c r="H496" s="46">
        <f>if(ISNA(vlookup($A496, RotoWire!$B$2:$E$681, 4, false)), 0, vlookup($A496, RotoWire!$B$2:$E$681, 4, false))</f>
        <v>0</v>
      </c>
      <c r="I496" s="53">
        <f t="shared" si="1"/>
        <v>0</v>
      </c>
      <c r="J496" s="53">
        <f t="shared" si="2"/>
        <v>0</v>
      </c>
    </row>
    <row r="497">
      <c r="A497" s="51" t="s">
        <v>650</v>
      </c>
      <c r="B497" s="52" t="s">
        <v>172</v>
      </c>
      <c r="C497" s="52" t="s">
        <v>97</v>
      </c>
      <c r="D497" s="54"/>
      <c r="E497" s="46">
        <f>if(ISNA(vlookup($A497, ESPN!$B$2:$E$281, 4, false)), 0, vlookup($A497, ESPN!$B$2:$E$281, 4, false))</f>
        <v>0</v>
      </c>
      <c r="F497" s="46">
        <f>if(ISNA(vlookup($A497, Scout.com!$B$2:$E$239, 4, false)), 0, vlookup($A497, Scout.com!$B$2:$E$239, 4, false))</f>
        <v>0</v>
      </c>
      <c r="G497" s="46">
        <f>if(ISNA(vlookup($A497, FantasyPro!$B$2:$E$318, 4, false)), 0, vlookup($A497, FantasyPro!$B$2:$E$318, 4, false))</f>
        <v>0</v>
      </c>
      <c r="H497" s="46">
        <f>if(ISNA(vlookup($A497, RotoWire!$B$2:$E$681, 4, false)), 0, vlookup($A497, RotoWire!$B$2:$E$681, 4, false))</f>
        <v>0</v>
      </c>
      <c r="I497" s="53">
        <f t="shared" si="1"/>
        <v>0</v>
      </c>
      <c r="J497" s="53">
        <f t="shared" si="2"/>
        <v>0</v>
      </c>
    </row>
    <row r="498">
      <c r="A498" s="51" t="s">
        <v>647</v>
      </c>
      <c r="B498" s="52" t="s">
        <v>23</v>
      </c>
      <c r="C498" s="52" t="s">
        <v>97</v>
      </c>
      <c r="D498" s="52">
        <v>8.0</v>
      </c>
      <c r="E498" s="46">
        <f>if(ISNA(vlookup($A498, ESPN!$B$2:$E$281, 4, false)), 0, vlookup($A498, ESPN!$B$2:$E$281, 4, false))</f>
        <v>0</v>
      </c>
      <c r="F498" s="46">
        <f>if(ISNA(vlookup($A498, Scout.com!$B$2:$E$239, 4, false)), 0, vlookup($A498, Scout.com!$B$2:$E$239, 4, false))</f>
        <v>0</v>
      </c>
      <c r="G498" s="46">
        <f>if(ISNA(vlookup($A498, FantasyPro!$B$2:$E$318, 4, false)), 0, vlookup($A498, FantasyPro!$B$2:$E$318, 4, false))</f>
        <v>0</v>
      </c>
      <c r="H498" s="46">
        <f>if(ISNA(vlookup($A498, RotoWire!$B$2:$E$681, 4, false)), 0, vlookup($A498, RotoWire!$B$2:$E$681, 4, false))</f>
        <v>0</v>
      </c>
      <c r="I498" s="53">
        <f t="shared" si="1"/>
        <v>0</v>
      </c>
      <c r="J498" s="53">
        <f t="shared" si="2"/>
        <v>0</v>
      </c>
    </row>
    <row r="499">
      <c r="A499" s="51" t="s">
        <v>558</v>
      </c>
      <c r="B499" s="52" t="s">
        <v>88</v>
      </c>
      <c r="C499" s="52" t="s">
        <v>43</v>
      </c>
      <c r="D499" s="52">
        <v>10.0</v>
      </c>
      <c r="E499" s="46">
        <f>if(ISNA(vlookup($A499, ESPN!$B$2:$E$281, 4, false)), 0, vlookup($A499, ESPN!$B$2:$E$281, 4, false))</f>
        <v>0</v>
      </c>
      <c r="F499" s="46">
        <f>if(ISNA(vlookup($A499, Scout.com!$B$2:$E$239, 4, false)), 0, vlookup($A499, Scout.com!$B$2:$E$239, 4, false))</f>
        <v>0</v>
      </c>
      <c r="G499" s="46">
        <f>if(ISNA(vlookup($A499, FantasyPro!$B$2:$E$318, 4, false)), 0, vlookup($A499, FantasyPro!$B$2:$E$318, 4, false))</f>
        <v>0</v>
      </c>
      <c r="H499" s="46">
        <f>if(ISNA(vlookup($A499, RotoWire!$B$2:$E$681, 4, false)), 0, vlookup($A499, RotoWire!$B$2:$E$681, 4, false))</f>
        <v>0</v>
      </c>
      <c r="I499" s="53">
        <f t="shared" si="1"/>
        <v>0</v>
      </c>
      <c r="J499" s="53">
        <f t="shared" si="2"/>
        <v>0</v>
      </c>
    </row>
    <row r="500">
      <c r="A500" s="51" t="s">
        <v>349</v>
      </c>
      <c r="B500" s="52" t="s">
        <v>45</v>
      </c>
      <c r="C500" s="52" t="s">
        <v>199</v>
      </c>
      <c r="D500" s="52">
        <v>11.0</v>
      </c>
      <c r="E500" s="46">
        <f>if(ISNA(vlookup($A500, ESPN!$B$2:$E$281, 4, false)), 0, vlookup($A500, ESPN!$B$2:$E$281, 4, false))</f>
        <v>0</v>
      </c>
      <c r="F500" s="46">
        <f>if(ISNA(vlookup($A500, Scout.com!$B$2:$E$239, 4, false)), 0, vlookup($A500, Scout.com!$B$2:$E$239, 4, false))</f>
        <v>0</v>
      </c>
      <c r="G500" s="46">
        <f>if(ISNA(vlookup($A500, FantasyPro!$B$2:$E$318, 4, false)), 0, vlookup($A500, FantasyPro!$B$2:$E$318, 4, false))</f>
        <v>0</v>
      </c>
      <c r="H500" s="46">
        <f>if(ISNA(vlookup($A500, RotoWire!$B$2:$E$681, 4, false)), 0, vlookup($A500, RotoWire!$B$2:$E$681, 4, false))</f>
        <v>0</v>
      </c>
      <c r="I500" s="53">
        <f t="shared" si="1"/>
        <v>0</v>
      </c>
      <c r="J500" s="53">
        <f t="shared" si="2"/>
        <v>0</v>
      </c>
    </row>
    <row r="501">
      <c r="A501" s="51" t="s">
        <v>512</v>
      </c>
      <c r="B501" s="52" t="s">
        <v>83</v>
      </c>
      <c r="C501" s="52" t="s">
        <v>17</v>
      </c>
      <c r="D501" s="52">
        <v>8.0</v>
      </c>
      <c r="E501" s="46">
        <f>if(ISNA(vlookup($A501, ESPN!$B$2:$E$281, 4, false)), 0, vlookup($A501, ESPN!$B$2:$E$281, 4, false))</f>
        <v>0</v>
      </c>
      <c r="F501" s="46">
        <f>if(ISNA(vlookup($A501, Scout.com!$B$2:$E$239, 4, false)), 0, vlookup($A501, Scout.com!$B$2:$E$239, 4, false))</f>
        <v>0</v>
      </c>
      <c r="G501" s="46">
        <f>if(ISNA(vlookup($A501, FantasyPro!$B$2:$E$318, 4, false)), 0, vlookup($A501, FantasyPro!$B$2:$E$318, 4, false))</f>
        <v>0</v>
      </c>
      <c r="H501" s="46">
        <f>if(ISNA(vlookup($A501, RotoWire!$B$2:$E$681, 4, false)), 0, vlookup($A501, RotoWire!$B$2:$E$681, 4, false))</f>
        <v>0</v>
      </c>
      <c r="I501" s="53">
        <f t="shared" si="1"/>
        <v>0</v>
      </c>
      <c r="J501" s="53">
        <f t="shared" si="2"/>
        <v>0</v>
      </c>
    </row>
    <row r="502">
      <c r="A502" s="51" t="s">
        <v>549</v>
      </c>
      <c r="B502" s="52" t="s">
        <v>21</v>
      </c>
      <c r="C502" s="52" t="s">
        <v>17</v>
      </c>
      <c r="D502" s="52">
        <v>6.0</v>
      </c>
      <c r="E502" s="46">
        <f>if(ISNA(vlookup($A502, ESPN!$B$2:$E$281, 4, false)), 0, vlookup($A502, ESPN!$B$2:$E$281, 4, false))</f>
        <v>0</v>
      </c>
      <c r="F502" s="46">
        <f>if(ISNA(vlookup($A502, Scout.com!$B$2:$E$239, 4, false)), 0, vlookup($A502, Scout.com!$B$2:$E$239, 4, false))</f>
        <v>0</v>
      </c>
      <c r="G502" s="46">
        <f>if(ISNA(vlookup($A502, FantasyPro!$B$2:$E$318, 4, false)), 0, vlookup($A502, FantasyPro!$B$2:$E$318, 4, false))</f>
        <v>0</v>
      </c>
      <c r="H502" s="46">
        <f>if(ISNA(vlookup($A502, RotoWire!$B$2:$E$681, 4, false)), 0, vlookup($A502, RotoWire!$B$2:$E$681, 4, false))</f>
        <v>0</v>
      </c>
      <c r="I502" s="53">
        <f t="shared" si="1"/>
        <v>0</v>
      </c>
      <c r="J502" s="53">
        <f t="shared" si="2"/>
        <v>0</v>
      </c>
    </row>
    <row r="503">
      <c r="A503" s="51" t="s">
        <v>483</v>
      </c>
      <c r="B503" s="52" t="s">
        <v>65</v>
      </c>
      <c r="C503" s="52" t="s">
        <v>7</v>
      </c>
      <c r="D503" s="52">
        <v>7.0</v>
      </c>
      <c r="E503" s="46">
        <f>if(ISNA(vlookup($A503, ESPN!$B$2:$E$281, 4, false)), 0, vlookup($A503, ESPN!$B$2:$E$281, 4, false))</f>
        <v>0</v>
      </c>
      <c r="F503" s="46">
        <f>if(ISNA(vlookup($A503, Scout.com!$B$2:$E$239, 4, false)), 0, vlookup($A503, Scout.com!$B$2:$E$239, 4, false))</f>
        <v>0</v>
      </c>
      <c r="G503" s="46">
        <f>if(ISNA(vlookup($A503, FantasyPro!$B$2:$E$318, 4, false)), 0, vlookup($A503, FantasyPro!$B$2:$E$318, 4, false))</f>
        <v>0</v>
      </c>
      <c r="H503" s="46">
        <f>if(ISNA(vlookup($A503, RotoWire!$B$2:$E$681, 4, false)), 0, vlookup($A503, RotoWire!$B$2:$E$681, 4, false))</f>
        <v>0</v>
      </c>
      <c r="I503" s="53">
        <f t="shared" si="1"/>
        <v>0</v>
      </c>
      <c r="J503" s="53">
        <f t="shared" si="2"/>
        <v>0</v>
      </c>
    </row>
    <row r="504">
      <c r="A504" s="51" t="s">
        <v>435</v>
      </c>
      <c r="B504" s="52" t="s">
        <v>15</v>
      </c>
      <c r="C504" s="52" t="s">
        <v>7</v>
      </c>
      <c r="D504" s="52">
        <v>11.0</v>
      </c>
      <c r="E504" s="46">
        <f>if(ISNA(vlookup($A504, ESPN!$B$2:$E$281, 4, false)), 0, vlookup($A504, ESPN!$B$2:$E$281, 4, false))</f>
        <v>0</v>
      </c>
      <c r="F504" s="46">
        <f>if(ISNA(vlookup($A504, Scout.com!$B$2:$E$239, 4, false)), 0, vlookup($A504, Scout.com!$B$2:$E$239, 4, false))</f>
        <v>0</v>
      </c>
      <c r="G504" s="46">
        <f>if(ISNA(vlookup($A504, FantasyPro!$B$2:$E$318, 4, false)), 0, vlookup($A504, FantasyPro!$B$2:$E$318, 4, false))</f>
        <v>0</v>
      </c>
      <c r="H504" s="46">
        <f>if(ISNA(vlookup($A504, RotoWire!$B$2:$E$681, 4, false)), 0, vlookup($A504, RotoWire!$B$2:$E$681, 4, false))</f>
        <v>0</v>
      </c>
      <c r="I504" s="53">
        <f t="shared" si="1"/>
        <v>0</v>
      </c>
      <c r="J504" s="53">
        <f t="shared" si="2"/>
        <v>0</v>
      </c>
    </row>
    <row r="505">
      <c r="A505" s="51" t="s">
        <v>641</v>
      </c>
      <c r="B505" s="52" t="s">
        <v>11</v>
      </c>
      <c r="C505" s="52" t="s">
        <v>97</v>
      </c>
      <c r="D505" s="52">
        <v>9.0</v>
      </c>
      <c r="E505" s="46">
        <f>if(ISNA(vlookup($A505, ESPN!$B$2:$E$281, 4, false)), 0, vlookup($A505, ESPN!$B$2:$E$281, 4, false))</f>
        <v>0</v>
      </c>
      <c r="F505" s="46">
        <f>if(ISNA(vlookup($A505, Scout.com!$B$2:$E$239, 4, false)), 0, vlookup($A505, Scout.com!$B$2:$E$239, 4, false))</f>
        <v>0</v>
      </c>
      <c r="G505" s="46">
        <f>if(ISNA(vlookup($A505, FantasyPro!$B$2:$E$318, 4, false)), 0, vlookup($A505, FantasyPro!$B$2:$E$318, 4, false))</f>
        <v>0</v>
      </c>
      <c r="H505" s="46">
        <f>if(ISNA(vlookup($A505, RotoWire!$B$2:$E$681, 4, false)), 0, vlookup($A505, RotoWire!$B$2:$E$681, 4, false))</f>
        <v>0</v>
      </c>
      <c r="I505" s="53">
        <f t="shared" si="1"/>
        <v>0</v>
      </c>
      <c r="J505" s="53">
        <f t="shared" si="2"/>
        <v>0</v>
      </c>
    </row>
    <row r="506">
      <c r="A506" s="51" t="s">
        <v>412</v>
      </c>
      <c r="B506" s="52" t="s">
        <v>75</v>
      </c>
      <c r="C506" s="52" t="s">
        <v>219</v>
      </c>
      <c r="D506" s="52">
        <v>7.0</v>
      </c>
      <c r="E506" s="46">
        <f>if(ISNA(vlookup($A506, ESPN!$B$2:$E$281, 4, false)), 0, vlookup($A506, ESPN!$B$2:$E$281, 4, false))</f>
        <v>0</v>
      </c>
      <c r="F506" s="46">
        <f>if(ISNA(vlookup($A506, Scout.com!$B$2:$E$239, 4, false)), 0, vlookup($A506, Scout.com!$B$2:$E$239, 4, false))</f>
        <v>0</v>
      </c>
      <c r="G506" s="46">
        <f>if(ISNA(vlookup($A506, FantasyPro!$B$2:$E$318, 4, false)), 0, vlookup($A506, FantasyPro!$B$2:$E$318, 4, false))</f>
        <v>0</v>
      </c>
      <c r="H506" s="46">
        <f>if(ISNA(vlookup($A506, RotoWire!$B$2:$E$681, 4, false)), 0, vlookup($A506, RotoWire!$B$2:$E$681, 4, false))</f>
        <v>0</v>
      </c>
      <c r="I506" s="53">
        <f t="shared" si="1"/>
        <v>0</v>
      </c>
      <c r="J506" s="53">
        <f t="shared" si="2"/>
        <v>0</v>
      </c>
    </row>
    <row r="507">
      <c r="A507" s="51" t="s">
        <v>478</v>
      </c>
      <c r="B507" s="52" t="s">
        <v>172</v>
      </c>
      <c r="C507" s="52" t="s">
        <v>7</v>
      </c>
      <c r="D507" s="54"/>
      <c r="E507" s="46">
        <f>if(ISNA(vlookup($A507, ESPN!$B$2:$E$281, 4, false)), 0, vlookup($A507, ESPN!$B$2:$E$281, 4, false))</f>
        <v>0</v>
      </c>
      <c r="F507" s="46">
        <f>if(ISNA(vlookup($A507, Scout.com!$B$2:$E$239, 4, false)), 0, vlookup($A507, Scout.com!$B$2:$E$239, 4, false))</f>
        <v>0</v>
      </c>
      <c r="G507" s="46">
        <f>if(ISNA(vlookup($A507, FantasyPro!$B$2:$E$318, 4, false)), 0, vlookup($A507, FantasyPro!$B$2:$E$318, 4, false))</f>
        <v>0</v>
      </c>
      <c r="H507" s="46">
        <f>if(ISNA(vlookup($A507, RotoWire!$B$2:$E$681, 4, false)), 0, vlookup($A507, RotoWire!$B$2:$E$681, 4, false))</f>
        <v>0</v>
      </c>
      <c r="I507" s="53">
        <f t="shared" si="1"/>
        <v>0</v>
      </c>
      <c r="J507" s="53">
        <f t="shared" si="2"/>
        <v>0</v>
      </c>
    </row>
    <row r="508">
      <c r="A508" s="51" t="s">
        <v>202</v>
      </c>
      <c r="B508" s="52" t="s">
        <v>60</v>
      </c>
      <c r="C508" s="52" t="s">
        <v>17</v>
      </c>
      <c r="D508" s="52">
        <v>9.0</v>
      </c>
      <c r="E508" s="46">
        <f>if(ISNA(vlookup($A508, ESPN!$B$2:$E$281, 4, false)), 0, vlookup($A508, ESPN!$B$2:$E$281, 4, false))</f>
        <v>0</v>
      </c>
      <c r="F508" s="46">
        <f>if(ISNA(vlookup($A508, Scout.com!$B$2:$E$239, 4, false)), 0, vlookup($A508, Scout.com!$B$2:$E$239, 4, false))</f>
        <v>0</v>
      </c>
      <c r="G508" s="46">
        <f>if(ISNA(vlookup($A508, FantasyPro!$B$2:$E$318, 4, false)), 0, vlookup($A508, FantasyPro!$B$2:$E$318, 4, false))</f>
        <v>0</v>
      </c>
      <c r="H508" s="46">
        <f>if(ISNA(vlookup($A508, RotoWire!$B$2:$E$681, 4, false)), 0, vlookup($A508, RotoWire!$B$2:$E$681, 4, false))</f>
        <v>0</v>
      </c>
      <c r="I508" s="53">
        <f t="shared" si="1"/>
        <v>0</v>
      </c>
      <c r="J508" s="53">
        <f t="shared" si="2"/>
        <v>0</v>
      </c>
    </row>
    <row r="509">
      <c r="A509" s="51" t="s">
        <v>684</v>
      </c>
      <c r="B509" s="52" t="s">
        <v>13</v>
      </c>
      <c r="C509" s="52" t="s">
        <v>97</v>
      </c>
      <c r="D509" s="52">
        <v>8.0</v>
      </c>
      <c r="E509" s="46">
        <f>if(ISNA(vlookup($A509, ESPN!$B$2:$E$281, 4, false)), 0, vlookup($A509, ESPN!$B$2:$E$281, 4, false))</f>
        <v>0</v>
      </c>
      <c r="F509" s="46">
        <f>if(ISNA(vlookup($A509, Scout.com!$B$2:$E$239, 4, false)), 0, vlookup($A509, Scout.com!$B$2:$E$239, 4, false))</f>
        <v>0</v>
      </c>
      <c r="G509" s="46">
        <f>if(ISNA(vlookup($A509, FantasyPro!$B$2:$E$318, 4, false)), 0, vlookup($A509, FantasyPro!$B$2:$E$318, 4, false))</f>
        <v>0</v>
      </c>
      <c r="H509" s="46">
        <f>if(ISNA(vlookup($A509, RotoWire!$B$2:$E$681, 4, false)), 0, vlookup($A509, RotoWire!$B$2:$E$681, 4, false))</f>
        <v>0</v>
      </c>
      <c r="I509" s="53">
        <f t="shared" si="1"/>
        <v>0</v>
      </c>
      <c r="J509" s="53">
        <f t="shared" si="2"/>
        <v>0</v>
      </c>
    </row>
    <row r="510">
      <c r="A510" s="51" t="s">
        <v>669</v>
      </c>
      <c r="B510" s="52" t="s">
        <v>60</v>
      </c>
      <c r="C510" s="52" t="s">
        <v>97</v>
      </c>
      <c r="D510" s="52">
        <v>9.0</v>
      </c>
      <c r="E510" s="46">
        <f>if(ISNA(vlookup($A510, ESPN!$B$2:$E$281, 4, false)), 0, vlookup($A510, ESPN!$B$2:$E$281, 4, false))</f>
        <v>0</v>
      </c>
      <c r="F510" s="46">
        <f>if(ISNA(vlookup($A510, Scout.com!$B$2:$E$239, 4, false)), 0, vlookup($A510, Scout.com!$B$2:$E$239, 4, false))</f>
        <v>0</v>
      </c>
      <c r="G510" s="46">
        <f>if(ISNA(vlookup($A510, FantasyPro!$B$2:$E$318, 4, false)), 0, vlookup($A510, FantasyPro!$B$2:$E$318, 4, false))</f>
        <v>0</v>
      </c>
      <c r="H510" s="46">
        <f>if(ISNA(vlookup($A510, RotoWire!$B$2:$E$681, 4, false)), 0, vlookup($A510, RotoWire!$B$2:$E$681, 4, false))</f>
        <v>0</v>
      </c>
      <c r="I510" s="53">
        <f t="shared" si="1"/>
        <v>0</v>
      </c>
      <c r="J510" s="53">
        <f t="shared" si="2"/>
        <v>0</v>
      </c>
    </row>
    <row r="511">
      <c r="A511" s="51" t="s">
        <v>633</v>
      </c>
      <c r="B511" s="52" t="s">
        <v>70</v>
      </c>
      <c r="C511" s="52" t="s">
        <v>97</v>
      </c>
      <c r="D511" s="52">
        <v>11.0</v>
      </c>
      <c r="E511" s="46">
        <f>if(ISNA(vlookup($A511, ESPN!$B$2:$E$281, 4, false)), 0, vlookup($A511, ESPN!$B$2:$E$281, 4, false))</f>
        <v>0</v>
      </c>
      <c r="F511" s="46">
        <f>if(ISNA(vlookup($A511, Scout.com!$B$2:$E$239, 4, false)), 0, vlookup($A511, Scout.com!$B$2:$E$239, 4, false))</f>
        <v>0</v>
      </c>
      <c r="G511" s="46">
        <f>if(ISNA(vlookup($A511, FantasyPro!$B$2:$E$318, 4, false)), 0, vlookup($A511, FantasyPro!$B$2:$E$318, 4, false))</f>
        <v>0</v>
      </c>
      <c r="H511" s="46">
        <f>if(ISNA(vlookup($A511, RotoWire!$B$2:$E$681, 4, false)), 0, vlookup($A511, RotoWire!$B$2:$E$681, 4, false))</f>
        <v>0</v>
      </c>
      <c r="I511" s="53">
        <f t="shared" si="1"/>
        <v>0</v>
      </c>
      <c r="J511" s="53">
        <f t="shared" si="2"/>
        <v>0</v>
      </c>
    </row>
    <row r="512">
      <c r="A512" s="51" t="s">
        <v>350</v>
      </c>
      <c r="B512" s="52" t="s">
        <v>19</v>
      </c>
      <c r="C512" s="52" t="s">
        <v>199</v>
      </c>
      <c r="D512" s="52">
        <v>9.0</v>
      </c>
      <c r="E512" s="46">
        <f>if(ISNA(vlookup($A512, ESPN!$B$2:$E$281, 4, false)), 0, vlookup($A512, ESPN!$B$2:$E$281, 4, false))</f>
        <v>0</v>
      </c>
      <c r="F512" s="46">
        <f>if(ISNA(vlookup($A512, Scout.com!$B$2:$E$239, 4, false)), 0, vlookup($A512, Scout.com!$B$2:$E$239, 4, false))</f>
        <v>0</v>
      </c>
      <c r="G512" s="46">
        <f>if(ISNA(vlookup($A512, FantasyPro!$B$2:$E$318, 4, false)), 0, vlookup($A512, FantasyPro!$B$2:$E$318, 4, false))</f>
        <v>0</v>
      </c>
      <c r="H512" s="46">
        <f>if(ISNA(vlookup($A512, RotoWire!$B$2:$E$681, 4, false)), 0, vlookup($A512, RotoWire!$B$2:$E$681, 4, false))</f>
        <v>0</v>
      </c>
      <c r="I512" s="53">
        <f t="shared" si="1"/>
        <v>0</v>
      </c>
      <c r="J512" s="53">
        <f t="shared" si="2"/>
        <v>0</v>
      </c>
    </row>
    <row r="513">
      <c r="A513" s="51" t="s">
        <v>351</v>
      </c>
      <c r="B513" s="52" t="s">
        <v>95</v>
      </c>
      <c r="C513" s="52" t="s">
        <v>199</v>
      </c>
      <c r="D513" s="52">
        <v>11.0</v>
      </c>
      <c r="E513" s="46">
        <f>if(ISNA(vlookup($A513, ESPN!$B$2:$E$281, 4, false)), 0, vlookup($A513, ESPN!$B$2:$E$281, 4, false))</f>
        <v>0</v>
      </c>
      <c r="F513" s="46">
        <f>if(ISNA(vlookup($A513, Scout.com!$B$2:$E$239, 4, false)), 0, vlookup($A513, Scout.com!$B$2:$E$239, 4, false))</f>
        <v>0</v>
      </c>
      <c r="G513" s="46">
        <f>if(ISNA(vlookup($A513, FantasyPro!$B$2:$E$318, 4, false)), 0, vlookup($A513, FantasyPro!$B$2:$E$318, 4, false))</f>
        <v>0</v>
      </c>
      <c r="H513" s="46">
        <f>if(ISNA(vlookup($A513, RotoWire!$B$2:$E$681, 4, false)), 0, vlookup($A513, RotoWire!$B$2:$E$681, 4, false))</f>
        <v>0</v>
      </c>
      <c r="I513" s="53">
        <f t="shared" si="1"/>
        <v>0</v>
      </c>
      <c r="J513" s="53">
        <f t="shared" si="2"/>
        <v>0</v>
      </c>
    </row>
    <row r="514">
      <c r="A514" s="51" t="s">
        <v>581</v>
      </c>
      <c r="B514" s="52" t="s">
        <v>77</v>
      </c>
      <c r="C514" s="52" t="s">
        <v>7</v>
      </c>
      <c r="D514" s="52">
        <v>6.0</v>
      </c>
      <c r="E514" s="46">
        <f>if(ISNA(vlookup($A514, ESPN!$B$2:$E$281, 4, false)), 0, vlookup($A514, ESPN!$B$2:$E$281, 4, false))</f>
        <v>0</v>
      </c>
      <c r="F514" s="46">
        <f>if(ISNA(vlookup($A514, Scout.com!$B$2:$E$239, 4, false)), 0, vlookup($A514, Scout.com!$B$2:$E$239, 4, false))</f>
        <v>0</v>
      </c>
      <c r="G514" s="46">
        <f>if(ISNA(vlookup($A514, FantasyPro!$B$2:$E$318, 4, false)), 0, vlookup($A514, FantasyPro!$B$2:$E$318, 4, false))</f>
        <v>0</v>
      </c>
      <c r="H514" s="46">
        <f>if(ISNA(vlookup($A514, RotoWire!$B$2:$E$681, 4, false)), 0, vlookup($A514, RotoWire!$B$2:$E$681, 4, false))</f>
        <v>0</v>
      </c>
      <c r="I514" s="53">
        <f t="shared" si="1"/>
        <v>0</v>
      </c>
      <c r="J514" s="53">
        <f t="shared" si="2"/>
        <v>0</v>
      </c>
    </row>
    <row r="515">
      <c r="A515" s="51" t="s">
        <v>526</v>
      </c>
      <c r="B515" s="52" t="s">
        <v>88</v>
      </c>
      <c r="C515" s="52" t="s">
        <v>43</v>
      </c>
      <c r="D515" s="52">
        <v>10.0</v>
      </c>
      <c r="E515" s="46">
        <f>if(ISNA(vlookup($A515, ESPN!$B$2:$E$281, 4, false)), 0, vlookup($A515, ESPN!$B$2:$E$281, 4, false))</f>
        <v>0</v>
      </c>
      <c r="F515" s="46">
        <f>if(ISNA(vlookup($A515, Scout.com!$B$2:$E$239, 4, false)), 0, vlookup($A515, Scout.com!$B$2:$E$239, 4, false))</f>
        <v>0</v>
      </c>
      <c r="G515" s="46">
        <f>if(ISNA(vlookup($A515, FantasyPro!$B$2:$E$318, 4, false)), 0, vlookup($A515, FantasyPro!$B$2:$E$318, 4, false))</f>
        <v>0</v>
      </c>
      <c r="H515" s="46">
        <f>if(ISNA(vlookup($A515, RotoWire!$B$2:$E$681, 4, false)), 0, vlookup($A515, RotoWire!$B$2:$E$681, 4, false))</f>
        <v>0</v>
      </c>
      <c r="I515" s="53">
        <f t="shared" si="1"/>
        <v>0</v>
      </c>
      <c r="J515" s="53">
        <f t="shared" si="2"/>
        <v>0</v>
      </c>
    </row>
    <row r="516">
      <c r="A516" s="51" t="s">
        <v>321</v>
      </c>
      <c r="B516" s="52" t="s">
        <v>60</v>
      </c>
      <c r="C516" s="52" t="s">
        <v>97</v>
      </c>
      <c r="D516" s="52">
        <v>9.0</v>
      </c>
      <c r="E516" s="46">
        <f>if(ISNA(vlookup($A516, ESPN!$B$2:$E$281, 4, false)), 0, vlookup($A516, ESPN!$B$2:$E$281, 4, false))</f>
        <v>0</v>
      </c>
      <c r="F516" s="46">
        <f>if(ISNA(vlookup($A516, Scout.com!$B$2:$E$239, 4, false)), 0, vlookup($A516, Scout.com!$B$2:$E$239, 4, false))</f>
        <v>0</v>
      </c>
      <c r="G516" s="46">
        <f>if(ISNA(vlookup($A516, FantasyPro!$B$2:$E$318, 4, false)), 0, vlookup($A516, FantasyPro!$B$2:$E$318, 4, false))</f>
        <v>0</v>
      </c>
      <c r="H516" s="46">
        <f>if(ISNA(vlookup($A516, RotoWire!$B$2:$E$681, 4, false)), 0, vlookup($A516, RotoWire!$B$2:$E$681, 4, false))</f>
        <v>0</v>
      </c>
      <c r="I516" s="53">
        <f t="shared" si="1"/>
        <v>0</v>
      </c>
      <c r="J516" s="53">
        <f t="shared" si="2"/>
        <v>0</v>
      </c>
    </row>
    <row r="517">
      <c r="A517" s="51" t="s">
        <v>414</v>
      </c>
      <c r="B517" s="52" t="s">
        <v>172</v>
      </c>
      <c r="C517" s="52" t="s">
        <v>219</v>
      </c>
      <c r="D517" s="54"/>
      <c r="E517" s="46">
        <f>if(ISNA(vlookup($A517, ESPN!$B$2:$E$281, 4, false)), 0, vlookup($A517, ESPN!$B$2:$E$281, 4, false))</f>
        <v>0</v>
      </c>
      <c r="F517" s="46">
        <f>if(ISNA(vlookup($A517, Scout.com!$B$2:$E$239, 4, false)), 0, vlookup($A517, Scout.com!$B$2:$E$239, 4, false))</f>
        <v>0</v>
      </c>
      <c r="G517" s="46">
        <f>if(ISNA(vlookup($A517, FantasyPro!$B$2:$E$318, 4, false)), 0, vlookup($A517, FantasyPro!$B$2:$E$318, 4, false))</f>
        <v>0</v>
      </c>
      <c r="H517" s="46">
        <f>if(ISNA(vlookup($A517, RotoWire!$B$2:$E$681, 4, false)), 0, vlookup($A517, RotoWire!$B$2:$E$681, 4, false))</f>
        <v>0</v>
      </c>
      <c r="I517" s="53">
        <f t="shared" si="1"/>
        <v>0</v>
      </c>
      <c r="J517" s="53">
        <f t="shared" si="2"/>
        <v>0</v>
      </c>
    </row>
    <row r="518">
      <c r="A518" s="51" t="s">
        <v>413</v>
      </c>
      <c r="B518" s="52" t="s">
        <v>172</v>
      </c>
      <c r="C518" s="52" t="s">
        <v>219</v>
      </c>
      <c r="D518" s="54"/>
      <c r="E518" s="46">
        <f>if(ISNA(vlookup($A518, ESPN!$B$2:$E$281, 4, false)), 0, vlookup($A518, ESPN!$B$2:$E$281, 4, false))</f>
        <v>0</v>
      </c>
      <c r="F518" s="46">
        <f>if(ISNA(vlookup($A518, Scout.com!$B$2:$E$239, 4, false)), 0, vlookup($A518, Scout.com!$B$2:$E$239, 4, false))</f>
        <v>0</v>
      </c>
      <c r="G518" s="46">
        <f>if(ISNA(vlookup($A518, FantasyPro!$B$2:$E$318, 4, false)), 0, vlookup($A518, FantasyPro!$B$2:$E$318, 4, false))</f>
        <v>0</v>
      </c>
      <c r="H518" s="46">
        <f>if(ISNA(vlookup($A518, RotoWire!$B$2:$E$681, 4, false)), 0, vlookup($A518, RotoWire!$B$2:$E$681, 4, false))</f>
        <v>0</v>
      </c>
      <c r="I518" s="53">
        <f t="shared" si="1"/>
        <v>0</v>
      </c>
      <c r="J518" s="53">
        <f t="shared" si="2"/>
        <v>0</v>
      </c>
    </row>
    <row r="519">
      <c r="A519" s="51" t="s">
        <v>513</v>
      </c>
      <c r="B519" s="52" t="s">
        <v>70</v>
      </c>
      <c r="C519" s="52" t="s">
        <v>43</v>
      </c>
      <c r="D519" s="52">
        <v>11.0</v>
      </c>
      <c r="E519" s="46">
        <f>if(ISNA(vlookup($A519, ESPN!$B$2:$E$281, 4, false)), 0, vlookup($A519, ESPN!$B$2:$E$281, 4, false))</f>
        <v>0</v>
      </c>
      <c r="F519" s="46">
        <f>if(ISNA(vlookup($A519, Scout.com!$B$2:$E$239, 4, false)), 0, vlookup($A519, Scout.com!$B$2:$E$239, 4, false))</f>
        <v>0</v>
      </c>
      <c r="G519" s="46">
        <f>if(ISNA(vlookup($A519, FantasyPro!$B$2:$E$318, 4, false)), 0, vlookup($A519, FantasyPro!$B$2:$E$318, 4, false))</f>
        <v>0</v>
      </c>
      <c r="H519" s="46">
        <f>if(ISNA(vlookup($A519, RotoWire!$B$2:$E$681, 4, false)), 0, vlookup($A519, RotoWire!$B$2:$E$681, 4, false))</f>
        <v>0</v>
      </c>
      <c r="I519" s="53">
        <f t="shared" si="1"/>
        <v>0</v>
      </c>
      <c r="J519" s="53">
        <f t="shared" si="2"/>
        <v>0</v>
      </c>
    </row>
    <row r="520">
      <c r="A520" s="51" t="s">
        <v>439</v>
      </c>
      <c r="B520" s="52" t="s">
        <v>65</v>
      </c>
      <c r="C520" s="52" t="s">
        <v>43</v>
      </c>
      <c r="D520" s="52">
        <v>7.0</v>
      </c>
      <c r="E520" s="46">
        <f>if(ISNA(vlookup($A520, ESPN!$B$2:$E$281, 4, false)), 0, vlookup($A520, ESPN!$B$2:$E$281, 4, false))</f>
        <v>0</v>
      </c>
      <c r="F520" s="46">
        <f>if(ISNA(vlookup($A520, Scout.com!$B$2:$E$239, 4, false)), 0, vlookup($A520, Scout.com!$B$2:$E$239, 4, false))</f>
        <v>0</v>
      </c>
      <c r="G520" s="46">
        <f>if(ISNA(vlookup($A520, FantasyPro!$B$2:$E$318, 4, false)), 0, vlookup($A520, FantasyPro!$B$2:$E$318, 4, false))</f>
        <v>0</v>
      </c>
      <c r="H520" s="46">
        <f>if(ISNA(vlookup($A520, RotoWire!$B$2:$E$681, 4, false)), 0, vlookup($A520, RotoWire!$B$2:$E$681, 4, false))</f>
        <v>0</v>
      </c>
      <c r="I520" s="53">
        <f t="shared" si="1"/>
        <v>0</v>
      </c>
      <c r="J520" s="53">
        <f t="shared" si="2"/>
        <v>0</v>
      </c>
    </row>
    <row r="521">
      <c r="A521" s="51" t="s">
        <v>596</v>
      </c>
      <c r="B521" s="55" t="s">
        <v>30</v>
      </c>
      <c r="C521" s="52" t="s">
        <v>43</v>
      </c>
      <c r="D521" s="52">
        <v>9.0</v>
      </c>
      <c r="E521" s="46">
        <f>if(ISNA(vlookup($A521, ESPN!$B$2:$E$281, 4, false)), 0, vlookup($A521, ESPN!$B$2:$E$281, 4, false))</f>
        <v>0</v>
      </c>
      <c r="F521" s="46">
        <f>if(ISNA(vlookup($A521, Scout.com!$B$2:$E$239, 4, false)), 0, vlookup($A521, Scout.com!$B$2:$E$239, 4, false))</f>
        <v>0</v>
      </c>
      <c r="G521" s="46">
        <f>if(ISNA(vlookup($A521, FantasyPro!$B$2:$E$318, 4, false)), 0, vlookup($A521, FantasyPro!$B$2:$E$318, 4, false))</f>
        <v>0</v>
      </c>
      <c r="H521" s="46">
        <f>if(ISNA(vlookup($A521, RotoWire!$B$2:$E$681, 4, false)), 0, vlookup($A521, RotoWire!$B$2:$E$681, 4, false))</f>
        <v>0</v>
      </c>
      <c r="I521" s="53">
        <f t="shared" si="1"/>
        <v>0</v>
      </c>
      <c r="J521" s="53">
        <f t="shared" si="2"/>
        <v>0</v>
      </c>
    </row>
    <row r="522">
      <c r="A522" s="51" t="s">
        <v>352</v>
      </c>
      <c r="B522" s="52" t="s">
        <v>75</v>
      </c>
      <c r="C522" s="52" t="s">
        <v>199</v>
      </c>
      <c r="D522" s="52">
        <v>7.0</v>
      </c>
      <c r="E522" s="46">
        <f>if(ISNA(vlookup($A522, ESPN!$B$2:$E$281, 4, false)), 0, vlookup($A522, ESPN!$B$2:$E$281, 4, false))</f>
        <v>0</v>
      </c>
      <c r="F522" s="46">
        <f>if(ISNA(vlookup($A522, Scout.com!$B$2:$E$239, 4, false)), 0, vlookup($A522, Scout.com!$B$2:$E$239, 4, false))</f>
        <v>0</v>
      </c>
      <c r="G522" s="46">
        <f>if(ISNA(vlookup($A522, FantasyPro!$B$2:$E$318, 4, false)), 0, vlookup($A522, FantasyPro!$B$2:$E$318, 4, false))</f>
        <v>0</v>
      </c>
      <c r="H522" s="46">
        <f>if(ISNA(vlookup($A522, RotoWire!$B$2:$E$681, 4, false)), 0, vlookup($A522, RotoWire!$B$2:$E$681, 4, false))</f>
        <v>0</v>
      </c>
      <c r="I522" s="53">
        <f t="shared" si="1"/>
        <v>0</v>
      </c>
      <c r="J522" s="53">
        <f t="shared" si="2"/>
        <v>0</v>
      </c>
    </row>
    <row r="523">
      <c r="A523" s="51" t="s">
        <v>446</v>
      </c>
      <c r="B523" s="52" t="s">
        <v>172</v>
      </c>
      <c r="C523" s="52" t="s">
        <v>7</v>
      </c>
      <c r="D523" s="54"/>
      <c r="E523" s="46">
        <f>if(ISNA(vlookup($A523, ESPN!$B$2:$E$281, 4, false)), 0, vlookup($A523, ESPN!$B$2:$E$281, 4, false))</f>
        <v>0</v>
      </c>
      <c r="F523" s="46">
        <f>if(ISNA(vlookup($A523, Scout.com!$B$2:$E$239, 4, false)), 0, vlookup($A523, Scout.com!$B$2:$E$239, 4, false))</f>
        <v>0</v>
      </c>
      <c r="G523" s="46">
        <f>if(ISNA(vlookup($A523, FantasyPro!$B$2:$E$318, 4, false)), 0, vlookup($A523, FantasyPro!$B$2:$E$318, 4, false))</f>
        <v>0</v>
      </c>
      <c r="H523" s="46">
        <f>if(ISNA(vlookup($A523, RotoWire!$B$2:$E$681, 4, false)), 0, vlookup($A523, RotoWire!$B$2:$E$681, 4, false))</f>
        <v>0</v>
      </c>
      <c r="I523" s="53">
        <f t="shared" si="1"/>
        <v>0</v>
      </c>
      <c r="J523" s="53">
        <f t="shared" si="2"/>
        <v>0</v>
      </c>
    </row>
    <row r="524">
      <c r="A524" s="51" t="s">
        <v>579</v>
      </c>
      <c r="B524" s="52" t="s">
        <v>19</v>
      </c>
      <c r="C524" s="52" t="s">
        <v>7</v>
      </c>
      <c r="D524" s="52">
        <v>9.0</v>
      </c>
      <c r="E524" s="46">
        <f>if(ISNA(vlookup($A524, ESPN!$B$2:$E$281, 4, false)), 0, vlookup($A524, ESPN!$B$2:$E$281, 4, false))</f>
        <v>0</v>
      </c>
      <c r="F524" s="46">
        <f>if(ISNA(vlookup($A524, Scout.com!$B$2:$E$239, 4, false)), 0, vlookup($A524, Scout.com!$B$2:$E$239, 4, false))</f>
        <v>0</v>
      </c>
      <c r="G524" s="46">
        <f>if(ISNA(vlookup($A524, FantasyPro!$B$2:$E$318, 4, false)), 0, vlookup($A524, FantasyPro!$B$2:$E$318, 4, false))</f>
        <v>0</v>
      </c>
      <c r="H524" s="46">
        <f>if(ISNA(vlookup($A524, RotoWire!$B$2:$E$681, 4, false)), 0, vlookup($A524, RotoWire!$B$2:$E$681, 4, false))</f>
        <v>0</v>
      </c>
      <c r="I524" s="53">
        <f t="shared" si="1"/>
        <v>0</v>
      </c>
      <c r="J524" s="53">
        <f t="shared" si="2"/>
        <v>0</v>
      </c>
    </row>
    <row r="525">
      <c r="A525" s="51" t="s">
        <v>675</v>
      </c>
      <c r="B525" s="52" t="s">
        <v>63</v>
      </c>
      <c r="C525" s="52" t="s">
        <v>97</v>
      </c>
      <c r="D525" s="52">
        <v>10.0</v>
      </c>
      <c r="E525" s="46">
        <f>if(ISNA(vlookup($A525, ESPN!$B$2:$E$281, 4, false)), 0, vlookup($A525, ESPN!$B$2:$E$281, 4, false))</f>
        <v>0</v>
      </c>
      <c r="F525" s="46">
        <f>if(ISNA(vlookup($A525, Scout.com!$B$2:$E$239, 4, false)), 0, vlookup($A525, Scout.com!$B$2:$E$239, 4, false))</f>
        <v>0</v>
      </c>
      <c r="G525" s="46">
        <f>if(ISNA(vlookup($A525, FantasyPro!$B$2:$E$318, 4, false)), 0, vlookup($A525, FantasyPro!$B$2:$E$318, 4, false))</f>
        <v>0</v>
      </c>
      <c r="H525" s="46">
        <f>if(ISNA(vlookup($A525, RotoWire!$B$2:$E$681, 4, false)), 0, vlookup($A525, RotoWire!$B$2:$E$681, 4, false))</f>
        <v>0</v>
      </c>
      <c r="I525" s="53">
        <f t="shared" si="1"/>
        <v>0</v>
      </c>
      <c r="J525" s="53">
        <f t="shared" si="2"/>
        <v>0</v>
      </c>
    </row>
    <row r="526">
      <c r="A526" s="51" t="s">
        <v>505</v>
      </c>
      <c r="B526" s="52" t="s">
        <v>9</v>
      </c>
      <c r="C526" s="52" t="s">
        <v>17</v>
      </c>
      <c r="D526" s="52">
        <v>12.0</v>
      </c>
      <c r="E526" s="46">
        <f>if(ISNA(vlookup($A526, ESPN!$B$2:$E$281, 4, false)), 0, vlookup($A526, ESPN!$B$2:$E$281, 4, false))</f>
        <v>0</v>
      </c>
      <c r="F526" s="46">
        <f>if(ISNA(vlookup($A526, Scout.com!$B$2:$E$239, 4, false)), 0, vlookup($A526, Scout.com!$B$2:$E$239, 4, false))</f>
        <v>0</v>
      </c>
      <c r="G526" s="46">
        <f>if(ISNA(vlookup($A526, FantasyPro!$B$2:$E$318, 4, false)), 0, vlookup($A526, FantasyPro!$B$2:$E$318, 4, false))</f>
        <v>0</v>
      </c>
      <c r="H526" s="46">
        <f>if(ISNA(vlookup($A526, RotoWire!$B$2:$E$681, 4, false)), 0, vlookup($A526, RotoWire!$B$2:$E$681, 4, false))</f>
        <v>0</v>
      </c>
      <c r="I526" s="53">
        <f t="shared" si="1"/>
        <v>0</v>
      </c>
      <c r="J526" s="53">
        <f t="shared" si="2"/>
        <v>0</v>
      </c>
    </row>
    <row r="527">
      <c r="A527" s="51" t="s">
        <v>387</v>
      </c>
      <c r="B527" s="52" t="s">
        <v>11</v>
      </c>
      <c r="C527" s="52" t="s">
        <v>219</v>
      </c>
      <c r="D527" s="52">
        <v>9.0</v>
      </c>
      <c r="E527" s="46">
        <f>if(ISNA(vlookup($A527, ESPN!$B$2:$E$281, 4, false)), 0, vlookup($A527, ESPN!$B$2:$E$281, 4, false))</f>
        <v>0</v>
      </c>
      <c r="F527" s="46">
        <f>if(ISNA(vlookup($A527, Scout.com!$B$2:$E$239, 4, false)), 0, vlookup($A527, Scout.com!$B$2:$E$239, 4, false))</f>
        <v>0</v>
      </c>
      <c r="G527" s="46">
        <f>if(ISNA(vlookup($A527, FantasyPro!$B$2:$E$318, 4, false)), 0, vlookup($A527, FantasyPro!$B$2:$E$318, 4, false))</f>
        <v>0</v>
      </c>
      <c r="H527" s="46">
        <f>if(ISNA(vlookup($A527, RotoWire!$B$2:$E$681, 4, false)), 0, vlookup($A527, RotoWire!$B$2:$E$681, 4, false))</f>
        <v>0</v>
      </c>
      <c r="I527" s="53">
        <f t="shared" si="1"/>
        <v>0</v>
      </c>
      <c r="J527" s="53">
        <f t="shared" si="2"/>
        <v>0</v>
      </c>
    </row>
    <row r="528">
      <c r="A528" s="51" t="s">
        <v>470</v>
      </c>
      <c r="B528" s="52" t="s">
        <v>6</v>
      </c>
      <c r="C528" s="52" t="s">
        <v>17</v>
      </c>
      <c r="D528" s="52">
        <v>7.0</v>
      </c>
      <c r="E528" s="46">
        <f>if(ISNA(vlookup($A528, ESPN!$B$2:$E$281, 4, false)), 0, vlookup($A528, ESPN!$B$2:$E$281, 4, false))</f>
        <v>0</v>
      </c>
      <c r="F528" s="46">
        <f>if(ISNA(vlookup($A528, Scout.com!$B$2:$E$239, 4, false)), 0, vlookup($A528, Scout.com!$B$2:$E$239, 4, false))</f>
        <v>0</v>
      </c>
      <c r="G528" s="46">
        <f>if(ISNA(vlookup($A528, FantasyPro!$B$2:$E$318, 4, false)), 0, vlookup($A528, FantasyPro!$B$2:$E$318, 4, false))</f>
        <v>0</v>
      </c>
      <c r="H528" s="46">
        <f>if(ISNA(vlookup($A528, RotoWire!$B$2:$E$681, 4, false)), 0, vlookup($A528, RotoWire!$B$2:$E$681, 4, false))</f>
        <v>0</v>
      </c>
      <c r="I528" s="53">
        <f t="shared" si="1"/>
        <v>0</v>
      </c>
      <c r="J528" s="53">
        <f t="shared" si="2"/>
        <v>0</v>
      </c>
    </row>
    <row r="529">
      <c r="A529" s="51" t="s">
        <v>257</v>
      </c>
      <c r="B529" s="52" t="s">
        <v>95</v>
      </c>
      <c r="C529" s="52" t="s">
        <v>17</v>
      </c>
      <c r="D529" s="52">
        <v>11.0</v>
      </c>
      <c r="E529" s="46">
        <f>if(ISNA(vlookup($A529, ESPN!$B$2:$E$281, 4, false)), 0, vlookup($A529, ESPN!$B$2:$E$281, 4, false))</f>
        <v>0</v>
      </c>
      <c r="F529" s="46">
        <f>if(ISNA(vlookup($A529, Scout.com!$B$2:$E$239, 4, false)), 0, vlookup($A529, Scout.com!$B$2:$E$239, 4, false))</f>
        <v>0</v>
      </c>
      <c r="G529" s="46">
        <f>if(ISNA(vlookup($A529, FantasyPro!$B$2:$E$318, 4, false)), 0, vlookup($A529, FantasyPro!$B$2:$E$318, 4, false))</f>
        <v>0</v>
      </c>
      <c r="H529" s="46">
        <f>if(ISNA(vlookup($A529, RotoWire!$B$2:$E$681, 4, false)), 0, vlookup($A529, RotoWire!$B$2:$E$681, 4, false))</f>
        <v>0</v>
      </c>
      <c r="I529" s="53">
        <f t="shared" si="1"/>
        <v>0</v>
      </c>
      <c r="J529" s="53">
        <f t="shared" si="2"/>
        <v>0</v>
      </c>
    </row>
    <row r="530">
      <c r="A530" s="51" t="s">
        <v>480</v>
      </c>
      <c r="B530" s="52" t="s">
        <v>72</v>
      </c>
      <c r="C530" s="52" t="s">
        <v>7</v>
      </c>
      <c r="D530" s="52">
        <v>11.0</v>
      </c>
      <c r="E530" s="46">
        <f>if(ISNA(vlookup($A530, ESPN!$B$2:$E$281, 4, false)), 0, vlookup($A530, ESPN!$B$2:$E$281, 4, false))</f>
        <v>0</v>
      </c>
      <c r="F530" s="46">
        <f>if(ISNA(vlookup($A530, Scout.com!$B$2:$E$239, 4, false)), 0, vlookup($A530, Scout.com!$B$2:$E$239, 4, false))</f>
        <v>0</v>
      </c>
      <c r="G530" s="46">
        <f>if(ISNA(vlookup($A530, FantasyPro!$B$2:$E$318, 4, false)), 0, vlookup($A530, FantasyPro!$B$2:$E$318, 4, false))</f>
        <v>0</v>
      </c>
      <c r="H530" s="46">
        <f>if(ISNA(vlookup($A530, RotoWire!$B$2:$E$681, 4, false)), 0, vlookup($A530, RotoWire!$B$2:$E$681, 4, false))</f>
        <v>0</v>
      </c>
      <c r="I530" s="53">
        <f t="shared" si="1"/>
        <v>0</v>
      </c>
      <c r="J530" s="53">
        <f t="shared" si="2"/>
        <v>0</v>
      </c>
    </row>
    <row r="531">
      <c r="A531" s="51" t="s">
        <v>405</v>
      </c>
      <c r="B531" s="52" t="s">
        <v>39</v>
      </c>
      <c r="C531" s="52" t="s">
        <v>219</v>
      </c>
      <c r="D531" s="52">
        <v>9.0</v>
      </c>
      <c r="E531" s="46">
        <f>if(ISNA(vlookup($A531, ESPN!$B$2:$E$281, 4, false)), 0, vlookup($A531, ESPN!$B$2:$E$281, 4, false))</f>
        <v>0</v>
      </c>
      <c r="F531" s="46">
        <f>if(ISNA(vlookup($A531, Scout.com!$B$2:$E$239, 4, false)), 0, vlookup($A531, Scout.com!$B$2:$E$239, 4, false))</f>
        <v>0</v>
      </c>
      <c r="G531" s="46">
        <f>if(ISNA(vlookup($A531, FantasyPro!$B$2:$E$318, 4, false)), 0, vlookup($A531, FantasyPro!$B$2:$E$318, 4, false))</f>
        <v>0</v>
      </c>
      <c r="H531" s="46">
        <f>if(ISNA(vlookup($A531, RotoWire!$B$2:$E$681, 4, false)), 0, vlookup($A531, RotoWire!$B$2:$E$681, 4, false))</f>
        <v>0</v>
      </c>
      <c r="I531" s="53">
        <f t="shared" si="1"/>
        <v>0</v>
      </c>
      <c r="J531" s="53">
        <f t="shared" si="2"/>
        <v>0</v>
      </c>
    </row>
    <row r="532">
      <c r="A532" s="51" t="s">
        <v>545</v>
      </c>
      <c r="B532" s="52" t="s">
        <v>67</v>
      </c>
      <c r="C532" s="52" t="s">
        <v>17</v>
      </c>
      <c r="D532" s="52">
        <v>11.0</v>
      </c>
      <c r="E532" s="46">
        <f>if(ISNA(vlookup($A532, ESPN!$B$2:$E$281, 4, false)), 0, vlookup($A532, ESPN!$B$2:$E$281, 4, false))</f>
        <v>0</v>
      </c>
      <c r="F532" s="46">
        <f>if(ISNA(vlookup($A532, Scout.com!$B$2:$E$239, 4, false)), 0, vlookup($A532, Scout.com!$B$2:$E$239, 4, false))</f>
        <v>0</v>
      </c>
      <c r="G532" s="46">
        <f>if(ISNA(vlookup($A532, FantasyPro!$B$2:$E$318, 4, false)), 0, vlookup($A532, FantasyPro!$B$2:$E$318, 4, false))</f>
        <v>0</v>
      </c>
      <c r="H532" s="46">
        <f>if(ISNA(vlookup($A532, RotoWire!$B$2:$E$681, 4, false)), 0, vlookup($A532, RotoWire!$B$2:$E$681, 4, false))</f>
        <v>0</v>
      </c>
      <c r="I532" s="53">
        <f t="shared" si="1"/>
        <v>0</v>
      </c>
      <c r="J532" s="53">
        <f t="shared" si="2"/>
        <v>0</v>
      </c>
    </row>
    <row r="533">
      <c r="A533" s="51" t="s">
        <v>605</v>
      </c>
      <c r="B533" s="52" t="s">
        <v>70</v>
      </c>
      <c r="C533" s="52" t="s">
        <v>17</v>
      </c>
      <c r="D533" s="52">
        <v>11.0</v>
      </c>
      <c r="E533" s="46">
        <f>if(ISNA(vlookup($A533, ESPN!$B$2:$E$281, 4, false)), 0, vlookup($A533, ESPN!$B$2:$E$281, 4, false))</f>
        <v>0</v>
      </c>
      <c r="F533" s="46">
        <f>if(ISNA(vlookup($A533, Scout.com!$B$2:$E$239, 4, false)), 0, vlookup($A533, Scout.com!$B$2:$E$239, 4, false))</f>
        <v>0</v>
      </c>
      <c r="G533" s="46">
        <f>if(ISNA(vlookup($A533, FantasyPro!$B$2:$E$318, 4, false)), 0, vlookup($A533, FantasyPro!$B$2:$E$318, 4, false))</f>
        <v>0</v>
      </c>
      <c r="H533" s="46">
        <f>if(ISNA(vlookup($A533, RotoWire!$B$2:$E$681, 4, false)), 0, vlookup($A533, RotoWire!$B$2:$E$681, 4, false))</f>
        <v>0</v>
      </c>
      <c r="I533" s="53">
        <f t="shared" si="1"/>
        <v>0</v>
      </c>
      <c r="J533" s="53">
        <f t="shared" si="2"/>
        <v>0</v>
      </c>
    </row>
    <row r="534">
      <c r="A534" s="51" t="s">
        <v>576</v>
      </c>
      <c r="B534" s="52" t="s">
        <v>19</v>
      </c>
      <c r="C534" s="52" t="s">
        <v>43</v>
      </c>
      <c r="D534" s="52">
        <v>9.0</v>
      </c>
      <c r="E534" s="46">
        <f>if(ISNA(vlookup($A534, ESPN!$B$2:$E$281, 4, false)), 0, vlookup($A534, ESPN!$B$2:$E$281, 4, false))</f>
        <v>0</v>
      </c>
      <c r="F534" s="46">
        <f>if(ISNA(vlookup($A534, Scout.com!$B$2:$E$239, 4, false)), 0, vlookup($A534, Scout.com!$B$2:$E$239, 4, false))</f>
        <v>0</v>
      </c>
      <c r="G534" s="46">
        <f>if(ISNA(vlookup($A534, FantasyPro!$B$2:$E$318, 4, false)), 0, vlookup($A534, FantasyPro!$B$2:$E$318, 4, false))</f>
        <v>0</v>
      </c>
      <c r="H534" s="46">
        <f>if(ISNA(vlookup($A534, RotoWire!$B$2:$E$681, 4, false)), 0, vlookup($A534, RotoWire!$B$2:$E$681, 4, false))</f>
        <v>0</v>
      </c>
      <c r="I534" s="53">
        <f t="shared" si="1"/>
        <v>0</v>
      </c>
      <c r="J534" s="53">
        <f t="shared" si="2"/>
        <v>0</v>
      </c>
    </row>
    <row r="535">
      <c r="A535" s="51" t="s">
        <v>563</v>
      </c>
      <c r="B535" s="52" t="s">
        <v>67</v>
      </c>
      <c r="C535" s="52" t="s">
        <v>17</v>
      </c>
      <c r="D535" s="52">
        <v>11.0</v>
      </c>
      <c r="E535" s="46">
        <f>if(ISNA(vlookup($A535, ESPN!$B$2:$E$281, 4, false)), 0, vlookup($A535, ESPN!$B$2:$E$281, 4, false))</f>
        <v>0</v>
      </c>
      <c r="F535" s="46">
        <f>if(ISNA(vlookup($A535, Scout.com!$B$2:$E$239, 4, false)), 0, vlookup($A535, Scout.com!$B$2:$E$239, 4, false))</f>
        <v>0</v>
      </c>
      <c r="G535" s="46">
        <f>if(ISNA(vlookup($A535, FantasyPro!$B$2:$E$318, 4, false)), 0, vlookup($A535, FantasyPro!$B$2:$E$318, 4, false))</f>
        <v>0</v>
      </c>
      <c r="H535" s="46">
        <f>if(ISNA(vlookup($A535, RotoWire!$B$2:$E$681, 4, false)), 0, vlookup($A535, RotoWire!$B$2:$E$681, 4, false))</f>
        <v>0</v>
      </c>
      <c r="I535" s="53">
        <f t="shared" si="1"/>
        <v>0</v>
      </c>
      <c r="J535" s="53">
        <f t="shared" si="2"/>
        <v>0</v>
      </c>
    </row>
    <row r="536">
      <c r="A536" s="51" t="s">
        <v>493</v>
      </c>
      <c r="B536" s="52" t="s">
        <v>60</v>
      </c>
      <c r="C536" s="52" t="s">
        <v>43</v>
      </c>
      <c r="D536" s="52">
        <v>9.0</v>
      </c>
      <c r="E536" s="46">
        <f>if(ISNA(vlookup($A536, ESPN!$B$2:$E$281, 4, false)), 0, vlookup($A536, ESPN!$B$2:$E$281, 4, false))</f>
        <v>0</v>
      </c>
      <c r="F536" s="46">
        <f>if(ISNA(vlookup($A536, Scout.com!$B$2:$E$239, 4, false)), 0, vlookup($A536, Scout.com!$B$2:$E$239, 4, false))</f>
        <v>0</v>
      </c>
      <c r="G536" s="46">
        <f>if(ISNA(vlookup($A536, FantasyPro!$B$2:$E$318, 4, false)), 0, vlookup($A536, FantasyPro!$B$2:$E$318, 4, false))</f>
        <v>0</v>
      </c>
      <c r="H536" s="46">
        <f>if(ISNA(vlookup($A536, RotoWire!$B$2:$E$681, 4, false)), 0, vlookup($A536, RotoWire!$B$2:$E$681, 4, false))</f>
        <v>0</v>
      </c>
      <c r="I536" s="53">
        <f t="shared" si="1"/>
        <v>0</v>
      </c>
      <c r="J536" s="53">
        <f t="shared" si="2"/>
        <v>0</v>
      </c>
    </row>
    <row r="537">
      <c r="A537" s="51" t="s">
        <v>519</v>
      </c>
      <c r="B537" s="52" t="s">
        <v>72</v>
      </c>
      <c r="C537" s="52" t="s">
        <v>17</v>
      </c>
      <c r="D537" s="52">
        <v>11.0</v>
      </c>
      <c r="E537" s="46">
        <f>if(ISNA(vlookup($A537, ESPN!$B$2:$E$281, 4, false)), 0, vlookup($A537, ESPN!$B$2:$E$281, 4, false))</f>
        <v>0</v>
      </c>
      <c r="F537" s="46">
        <f>if(ISNA(vlookup($A537, Scout.com!$B$2:$E$239, 4, false)), 0, vlookup($A537, Scout.com!$B$2:$E$239, 4, false))</f>
        <v>0</v>
      </c>
      <c r="G537" s="46">
        <f>if(ISNA(vlookup($A537, FantasyPro!$B$2:$E$318, 4, false)), 0, vlookup($A537, FantasyPro!$B$2:$E$318, 4, false))</f>
        <v>0</v>
      </c>
      <c r="H537" s="46">
        <f>if(ISNA(vlookup($A537, RotoWire!$B$2:$E$681, 4, false)), 0, vlookup($A537, RotoWire!$B$2:$E$681, 4, false))</f>
        <v>0</v>
      </c>
      <c r="I537" s="53">
        <f t="shared" si="1"/>
        <v>0</v>
      </c>
      <c r="J537" s="53">
        <f t="shared" si="2"/>
        <v>0</v>
      </c>
    </row>
    <row r="538">
      <c r="A538" s="51" t="s">
        <v>313</v>
      </c>
      <c r="B538" s="52" t="s">
        <v>13</v>
      </c>
      <c r="C538" s="52" t="s">
        <v>43</v>
      </c>
      <c r="D538" s="52">
        <v>8.0</v>
      </c>
      <c r="E538" s="46">
        <f>if(ISNA(vlookup($A538, ESPN!$B$2:$E$281, 4, false)), 0, vlookup($A538, ESPN!$B$2:$E$281, 4, false))</f>
        <v>0</v>
      </c>
      <c r="F538" s="46">
        <f>if(ISNA(vlookup($A538, Scout.com!$B$2:$E$239, 4, false)), 0, vlookup($A538, Scout.com!$B$2:$E$239, 4, false))</f>
        <v>0</v>
      </c>
      <c r="G538" s="46">
        <f>if(ISNA(vlookup($A538, FantasyPro!$B$2:$E$318, 4, false)), 0, vlookup($A538, FantasyPro!$B$2:$E$318, 4, false))</f>
        <v>0</v>
      </c>
      <c r="H538" s="46">
        <f>if(ISNA(vlookup($A538, RotoWire!$B$2:$E$681, 4, false)), 0, vlookup($A538, RotoWire!$B$2:$E$681, 4, false))</f>
        <v>0</v>
      </c>
      <c r="I538" s="53">
        <f t="shared" si="1"/>
        <v>0</v>
      </c>
      <c r="J538" s="53">
        <f t="shared" si="2"/>
        <v>0</v>
      </c>
    </row>
    <row r="539">
      <c r="A539" s="51" t="s">
        <v>193</v>
      </c>
      <c r="B539" s="52" t="s">
        <v>123</v>
      </c>
      <c r="C539" s="52" t="s">
        <v>7</v>
      </c>
      <c r="D539" s="52">
        <v>4.0</v>
      </c>
      <c r="E539" s="46">
        <f>if(ISNA(vlookup($A539, ESPN!$B$2:$E$281, 4, false)), 0, vlookup($A539, ESPN!$B$2:$E$281, 4, false))</f>
        <v>0</v>
      </c>
      <c r="F539" s="46">
        <f>if(ISNA(vlookup($A539, Scout.com!$B$2:$E$239, 4, false)), 0, vlookup($A539, Scout.com!$B$2:$E$239, 4, false))</f>
        <v>0</v>
      </c>
      <c r="G539" s="46">
        <f>if(ISNA(vlookup($A539, FantasyPro!$B$2:$E$318, 4, false)), 0, vlookup($A539, FantasyPro!$B$2:$E$318, 4, false))</f>
        <v>0</v>
      </c>
      <c r="H539" s="46">
        <f>if(ISNA(vlookup($A539, RotoWire!$B$2:$E$681, 4, false)), 0, vlookup($A539, RotoWire!$B$2:$E$681, 4, false))</f>
        <v>0</v>
      </c>
      <c r="I539" s="53">
        <f t="shared" si="1"/>
        <v>0</v>
      </c>
      <c r="J539" s="53">
        <f t="shared" si="2"/>
        <v>0</v>
      </c>
    </row>
    <row r="540">
      <c r="A540" s="51" t="s">
        <v>651</v>
      </c>
      <c r="B540" s="52" t="s">
        <v>88</v>
      </c>
      <c r="C540" s="52" t="s">
        <v>97</v>
      </c>
      <c r="D540" s="52">
        <v>10.0</v>
      </c>
      <c r="E540" s="46">
        <f>if(ISNA(vlookup($A540, ESPN!$B$2:$E$281, 4, false)), 0, vlookup($A540, ESPN!$B$2:$E$281, 4, false))</f>
        <v>0</v>
      </c>
      <c r="F540" s="46">
        <f>if(ISNA(vlookup($A540, Scout.com!$B$2:$E$239, 4, false)), 0, vlookup($A540, Scout.com!$B$2:$E$239, 4, false))</f>
        <v>0</v>
      </c>
      <c r="G540" s="46">
        <f>if(ISNA(vlookup($A540, FantasyPro!$B$2:$E$318, 4, false)), 0, vlookup($A540, FantasyPro!$B$2:$E$318, 4, false))</f>
        <v>0</v>
      </c>
      <c r="H540" s="46">
        <f>if(ISNA(vlookup($A540, RotoWire!$B$2:$E$681, 4, false)), 0, vlookup($A540, RotoWire!$B$2:$E$681, 4, false))</f>
        <v>0</v>
      </c>
      <c r="I540" s="53">
        <f t="shared" si="1"/>
        <v>0</v>
      </c>
      <c r="J540" s="53">
        <f t="shared" si="2"/>
        <v>0</v>
      </c>
    </row>
    <row r="541">
      <c r="A541" s="51" t="s">
        <v>370</v>
      </c>
      <c r="B541" s="52" t="s">
        <v>53</v>
      </c>
      <c r="C541" s="52" t="s">
        <v>7</v>
      </c>
      <c r="D541" s="52">
        <v>9.0</v>
      </c>
      <c r="E541" s="46">
        <f>if(ISNA(vlookup($A541, ESPN!$B$2:$E$281, 4, false)), 0, vlookup($A541, ESPN!$B$2:$E$281, 4, false))</f>
        <v>0</v>
      </c>
      <c r="F541" s="46">
        <f>if(ISNA(vlookup($A541, Scout.com!$B$2:$E$239, 4, false)), 0, vlookup($A541, Scout.com!$B$2:$E$239, 4, false))</f>
        <v>0</v>
      </c>
      <c r="G541" s="46">
        <f>if(ISNA(vlookup($A541, FantasyPro!$B$2:$E$318, 4, false)), 0, vlookup($A541, FantasyPro!$B$2:$E$318, 4, false))</f>
        <v>0</v>
      </c>
      <c r="H541" s="46">
        <f>if(ISNA(vlookup($A541, RotoWire!$B$2:$E$681, 4, false)), 0, vlookup($A541, RotoWire!$B$2:$E$681, 4, false))</f>
        <v>0</v>
      </c>
      <c r="I541" s="53">
        <f t="shared" si="1"/>
        <v>0</v>
      </c>
      <c r="J541" s="53">
        <f t="shared" si="2"/>
        <v>0</v>
      </c>
    </row>
    <row r="542">
      <c r="A542" s="51" t="s">
        <v>406</v>
      </c>
      <c r="B542" s="52" t="s">
        <v>34</v>
      </c>
      <c r="C542" s="52" t="s">
        <v>219</v>
      </c>
      <c r="D542" s="52">
        <v>8.0</v>
      </c>
      <c r="E542" s="46">
        <f>if(ISNA(vlookup($A542, ESPN!$B$2:$E$281, 4, false)), 0, vlookup($A542, ESPN!$B$2:$E$281, 4, false))</f>
        <v>0</v>
      </c>
      <c r="F542" s="46">
        <f>if(ISNA(vlookup($A542, Scout.com!$B$2:$E$239, 4, false)), 0, vlookup($A542, Scout.com!$B$2:$E$239, 4, false))</f>
        <v>0</v>
      </c>
      <c r="G542" s="46">
        <f>if(ISNA(vlookup($A542, FantasyPro!$B$2:$E$318, 4, false)), 0, vlookup($A542, FantasyPro!$B$2:$E$318, 4, false))</f>
        <v>0</v>
      </c>
      <c r="H542" s="46">
        <f>if(ISNA(vlookup($A542, RotoWire!$B$2:$E$681, 4, false)), 0, vlookup($A542, RotoWire!$B$2:$E$681, 4, false))</f>
        <v>0</v>
      </c>
      <c r="I542" s="53">
        <f t="shared" si="1"/>
        <v>0</v>
      </c>
      <c r="J542" s="53">
        <f t="shared" si="2"/>
        <v>0</v>
      </c>
    </row>
    <row r="543">
      <c r="A543" s="51" t="s">
        <v>252</v>
      </c>
      <c r="B543" s="52" t="s">
        <v>13</v>
      </c>
      <c r="C543" s="52" t="s">
        <v>7</v>
      </c>
      <c r="D543" s="52">
        <v>8.0</v>
      </c>
      <c r="E543" s="46">
        <f>if(ISNA(vlookup($A543, ESPN!$B$2:$E$281, 4, false)), 0, vlookup($A543, ESPN!$B$2:$E$281, 4, false))</f>
        <v>0</v>
      </c>
      <c r="F543" s="46">
        <f>if(ISNA(vlookup($A543, Scout.com!$B$2:$E$239, 4, false)), 0, vlookup($A543, Scout.com!$B$2:$E$239, 4, false))</f>
        <v>0</v>
      </c>
      <c r="G543" s="46">
        <f>if(ISNA(vlookup($A543, FantasyPro!$B$2:$E$318, 4, false)), 0, vlookup($A543, FantasyPro!$B$2:$E$318, 4, false))</f>
        <v>0</v>
      </c>
      <c r="H543" s="46">
        <f>if(ISNA(vlookup($A543, RotoWire!$B$2:$E$681, 4, false)), 0, vlookup($A543, RotoWire!$B$2:$E$681, 4, false))</f>
        <v>0</v>
      </c>
      <c r="I543" s="53">
        <f t="shared" si="1"/>
        <v>0</v>
      </c>
      <c r="J543" s="53">
        <f t="shared" si="2"/>
        <v>0</v>
      </c>
    </row>
    <row r="544">
      <c r="A544" s="51" t="s">
        <v>484</v>
      </c>
      <c r="B544" s="52" t="s">
        <v>19</v>
      </c>
      <c r="C544" s="52" t="s">
        <v>17</v>
      </c>
      <c r="D544" s="52">
        <v>9.0</v>
      </c>
      <c r="E544" s="46">
        <f>if(ISNA(vlookup($A544, ESPN!$B$2:$E$281, 4, false)), 0, vlookup($A544, ESPN!$B$2:$E$281, 4, false))</f>
        <v>0</v>
      </c>
      <c r="F544" s="46">
        <f>if(ISNA(vlookup($A544, Scout.com!$B$2:$E$239, 4, false)), 0, vlookup($A544, Scout.com!$B$2:$E$239, 4, false))</f>
        <v>0</v>
      </c>
      <c r="G544" s="46">
        <f>if(ISNA(vlookup($A544, FantasyPro!$B$2:$E$318, 4, false)), 0, vlookup($A544, FantasyPro!$B$2:$E$318, 4, false))</f>
        <v>0</v>
      </c>
      <c r="H544" s="46">
        <f>if(ISNA(vlookup($A544, RotoWire!$B$2:$E$681, 4, false)), 0, vlookup($A544, RotoWire!$B$2:$E$681, 4, false))</f>
        <v>0</v>
      </c>
      <c r="I544" s="53">
        <f t="shared" si="1"/>
        <v>0</v>
      </c>
      <c r="J544" s="53">
        <f t="shared" si="2"/>
        <v>0</v>
      </c>
    </row>
    <row r="545">
      <c r="A545" s="51" t="s">
        <v>611</v>
      </c>
      <c r="B545" s="52" t="s">
        <v>23</v>
      </c>
      <c r="C545" s="52" t="s">
        <v>17</v>
      </c>
      <c r="D545" s="52">
        <v>8.0</v>
      </c>
      <c r="E545" s="46">
        <f>if(ISNA(vlookup($A545, ESPN!$B$2:$E$281, 4, false)), 0, vlookup($A545, ESPN!$B$2:$E$281, 4, false))</f>
        <v>0</v>
      </c>
      <c r="F545" s="46">
        <f>if(ISNA(vlookup($A545, Scout.com!$B$2:$E$239, 4, false)), 0, vlookup($A545, Scout.com!$B$2:$E$239, 4, false))</f>
        <v>0</v>
      </c>
      <c r="G545" s="46">
        <f>if(ISNA(vlookup($A545, FantasyPro!$B$2:$E$318, 4, false)), 0, vlookup($A545, FantasyPro!$B$2:$E$318, 4, false))</f>
        <v>0</v>
      </c>
      <c r="H545" s="46">
        <f>if(ISNA(vlookup($A545, RotoWire!$B$2:$E$681, 4, false)), 0, vlookup($A545, RotoWire!$B$2:$E$681, 4, false))</f>
        <v>0</v>
      </c>
      <c r="I545" s="53">
        <f t="shared" si="1"/>
        <v>0</v>
      </c>
      <c r="J545" s="53">
        <f t="shared" si="2"/>
        <v>0</v>
      </c>
    </row>
    <row r="546">
      <c r="A546" s="51" t="s">
        <v>530</v>
      </c>
      <c r="B546" s="52" t="s">
        <v>19</v>
      </c>
      <c r="C546" s="52" t="s">
        <v>17</v>
      </c>
      <c r="D546" s="52">
        <v>9.0</v>
      </c>
      <c r="E546" s="46">
        <f>if(ISNA(vlookup($A546, ESPN!$B$2:$E$281, 4, false)), 0, vlookup($A546, ESPN!$B$2:$E$281, 4, false))</f>
        <v>0</v>
      </c>
      <c r="F546" s="46">
        <f>if(ISNA(vlookup($A546, Scout.com!$B$2:$E$239, 4, false)), 0, vlookup($A546, Scout.com!$B$2:$E$239, 4, false))</f>
        <v>0</v>
      </c>
      <c r="G546" s="46">
        <f>if(ISNA(vlookup($A546, FantasyPro!$B$2:$E$318, 4, false)), 0, vlookup($A546, FantasyPro!$B$2:$E$318, 4, false))</f>
        <v>0</v>
      </c>
      <c r="H546" s="46">
        <f>if(ISNA(vlookup($A546, RotoWire!$B$2:$E$681, 4, false)), 0, vlookup($A546, RotoWire!$B$2:$E$681, 4, false))</f>
        <v>0</v>
      </c>
      <c r="I546" s="53">
        <f t="shared" si="1"/>
        <v>0</v>
      </c>
      <c r="J546" s="53">
        <f t="shared" si="2"/>
        <v>0</v>
      </c>
    </row>
    <row r="547">
      <c r="A547" s="51" t="s">
        <v>319</v>
      </c>
      <c r="B547" s="52" t="s">
        <v>49</v>
      </c>
      <c r="C547" s="52" t="s">
        <v>97</v>
      </c>
      <c r="D547" s="52">
        <v>5.0</v>
      </c>
      <c r="E547" s="46">
        <f>if(ISNA(vlookup($A547, ESPN!$B$2:$E$281, 4, false)), 0, vlookup($A547, ESPN!$B$2:$E$281, 4, false))</f>
        <v>0</v>
      </c>
      <c r="F547" s="46">
        <f>if(ISNA(vlookup($A547, Scout.com!$B$2:$E$239, 4, false)), 0, vlookup($A547, Scout.com!$B$2:$E$239, 4, false))</f>
        <v>0</v>
      </c>
      <c r="G547" s="46">
        <f>if(ISNA(vlookup($A547, FantasyPro!$B$2:$E$318, 4, false)), 0, vlookup($A547, FantasyPro!$B$2:$E$318, 4, false))</f>
        <v>0</v>
      </c>
      <c r="H547" s="46">
        <f>if(ISNA(vlookup($A547, RotoWire!$B$2:$E$681, 4, false)), 0, vlookup($A547, RotoWire!$B$2:$E$681, 4, false))</f>
        <v>0</v>
      </c>
      <c r="I547" s="53">
        <f t="shared" si="1"/>
        <v>0</v>
      </c>
      <c r="J547" s="53">
        <f t="shared" si="2"/>
        <v>0</v>
      </c>
    </row>
    <row r="548">
      <c r="A548" s="51" t="s">
        <v>275</v>
      </c>
      <c r="B548" s="52" t="s">
        <v>53</v>
      </c>
      <c r="C548" s="52" t="s">
        <v>17</v>
      </c>
      <c r="D548" s="52">
        <v>9.0</v>
      </c>
      <c r="E548" s="46">
        <f>if(ISNA(vlookup($A548, ESPN!$B$2:$E$281, 4, false)), 0, vlookup($A548, ESPN!$B$2:$E$281, 4, false))</f>
        <v>0</v>
      </c>
      <c r="F548" s="46">
        <f>if(ISNA(vlookup($A548, Scout.com!$B$2:$E$239, 4, false)), 0, vlookup($A548, Scout.com!$B$2:$E$239, 4, false))</f>
        <v>0</v>
      </c>
      <c r="G548" s="46">
        <f>if(ISNA(vlookup($A548, FantasyPro!$B$2:$E$318, 4, false)), 0, vlookup($A548, FantasyPro!$B$2:$E$318, 4, false))</f>
        <v>0</v>
      </c>
      <c r="H548" s="46">
        <f>if(ISNA(vlookup($A548, RotoWire!$B$2:$E$681, 4, false)), 0, vlookup($A548, RotoWire!$B$2:$E$681, 4, false))</f>
        <v>0</v>
      </c>
      <c r="I548" s="53">
        <f t="shared" si="1"/>
        <v>0</v>
      </c>
      <c r="J548" s="53">
        <f t="shared" si="2"/>
        <v>0</v>
      </c>
    </row>
    <row r="549">
      <c r="A549" s="51" t="s">
        <v>296</v>
      </c>
      <c r="B549" s="52" t="s">
        <v>26</v>
      </c>
      <c r="C549" s="52" t="s">
        <v>43</v>
      </c>
      <c r="D549" s="52">
        <v>10.0</v>
      </c>
      <c r="E549" s="46">
        <f>if(ISNA(vlookup($A549, ESPN!$B$2:$E$281, 4, false)), 0, vlookup($A549, ESPN!$B$2:$E$281, 4, false))</f>
        <v>0</v>
      </c>
      <c r="F549" s="46">
        <f>if(ISNA(vlookup($A549, Scout.com!$B$2:$E$239, 4, false)), 0, vlookup($A549, Scout.com!$B$2:$E$239, 4, false))</f>
        <v>0</v>
      </c>
      <c r="G549" s="46">
        <f>if(ISNA(vlookup($A549, FantasyPro!$B$2:$E$318, 4, false)), 0, vlookup($A549, FantasyPro!$B$2:$E$318, 4, false))</f>
        <v>0</v>
      </c>
      <c r="H549" s="46">
        <f>if(ISNA(vlookup($A549, RotoWire!$B$2:$E$681, 4, false)), 0, vlookup($A549, RotoWire!$B$2:$E$681, 4, false))</f>
        <v>0</v>
      </c>
      <c r="I549" s="53">
        <f t="shared" si="1"/>
        <v>0</v>
      </c>
      <c r="J549" s="53">
        <f t="shared" si="2"/>
        <v>0</v>
      </c>
    </row>
    <row r="550">
      <c r="A550" s="51" t="s">
        <v>620</v>
      </c>
      <c r="B550" s="52" t="s">
        <v>15</v>
      </c>
      <c r="C550" s="52" t="s">
        <v>43</v>
      </c>
      <c r="D550" s="52">
        <v>11.0</v>
      </c>
      <c r="E550" s="46">
        <f>if(ISNA(vlookup($A550, ESPN!$B$2:$E$281, 4, false)), 0, vlookup($A550, ESPN!$B$2:$E$281, 4, false))</f>
        <v>0</v>
      </c>
      <c r="F550" s="46">
        <f>if(ISNA(vlookup($A550, Scout.com!$B$2:$E$239, 4, false)), 0, vlookup($A550, Scout.com!$B$2:$E$239, 4, false))</f>
        <v>0</v>
      </c>
      <c r="G550" s="46">
        <f>if(ISNA(vlookup($A550, FantasyPro!$B$2:$E$318, 4, false)), 0, vlookup($A550, FantasyPro!$B$2:$E$318, 4, false))</f>
        <v>0</v>
      </c>
      <c r="H550" s="46">
        <f>if(ISNA(vlookup($A550, RotoWire!$B$2:$E$681, 4, false)), 0, vlookup($A550, RotoWire!$B$2:$E$681, 4, false))</f>
        <v>0</v>
      </c>
      <c r="I550" s="53">
        <f t="shared" si="1"/>
        <v>0</v>
      </c>
      <c r="J550" s="53">
        <f t="shared" si="2"/>
        <v>0</v>
      </c>
    </row>
    <row r="551">
      <c r="A551" s="51" t="s">
        <v>676</v>
      </c>
      <c r="B551" s="52" t="s">
        <v>172</v>
      </c>
      <c r="C551" s="52" t="s">
        <v>97</v>
      </c>
      <c r="D551" s="54"/>
      <c r="E551" s="46">
        <f>if(ISNA(vlookup($A551, ESPN!$B$2:$E$281, 4, false)), 0, vlookup($A551, ESPN!$B$2:$E$281, 4, false))</f>
        <v>0</v>
      </c>
      <c r="F551" s="46">
        <f>if(ISNA(vlookup($A551, Scout.com!$B$2:$E$239, 4, false)), 0, vlookup($A551, Scout.com!$B$2:$E$239, 4, false))</f>
        <v>0</v>
      </c>
      <c r="G551" s="46">
        <f>if(ISNA(vlookup($A551, FantasyPro!$B$2:$E$318, 4, false)), 0, vlookup($A551, FantasyPro!$B$2:$E$318, 4, false))</f>
        <v>0</v>
      </c>
      <c r="H551" s="46">
        <f>if(ISNA(vlookup($A551, RotoWire!$B$2:$E$681, 4, false)), 0, vlookup($A551, RotoWire!$B$2:$E$681, 4, false))</f>
        <v>0</v>
      </c>
      <c r="I551" s="53">
        <f t="shared" si="1"/>
        <v>0</v>
      </c>
      <c r="J551" s="53">
        <f t="shared" si="2"/>
        <v>0</v>
      </c>
    </row>
    <row r="552">
      <c r="A552" s="51" t="s">
        <v>461</v>
      </c>
      <c r="B552" s="52" t="s">
        <v>51</v>
      </c>
      <c r="C552" s="52" t="s">
        <v>7</v>
      </c>
      <c r="D552" s="52">
        <v>5.0</v>
      </c>
      <c r="E552" s="46">
        <f>if(ISNA(vlookup($A552, ESPN!$B$2:$E$281, 4, false)), 0, vlookup($A552, ESPN!$B$2:$E$281, 4, false))</f>
        <v>0</v>
      </c>
      <c r="F552" s="46">
        <f>if(ISNA(vlookup($A552, Scout.com!$B$2:$E$239, 4, false)), 0, vlookup($A552, Scout.com!$B$2:$E$239, 4, false))</f>
        <v>0</v>
      </c>
      <c r="G552" s="46">
        <f>if(ISNA(vlookup($A552, FantasyPro!$B$2:$E$318, 4, false)), 0, vlookup($A552, FantasyPro!$B$2:$E$318, 4, false))</f>
        <v>0</v>
      </c>
      <c r="H552" s="46">
        <f>if(ISNA(vlookup($A552, RotoWire!$B$2:$E$681, 4, false)), 0, vlookup($A552, RotoWire!$B$2:$E$681, 4, false))</f>
        <v>0</v>
      </c>
      <c r="I552" s="53">
        <f t="shared" si="1"/>
        <v>0</v>
      </c>
      <c r="J552" s="53">
        <f t="shared" si="2"/>
        <v>0</v>
      </c>
    </row>
    <row r="553">
      <c r="A553" s="51" t="s">
        <v>267</v>
      </c>
      <c r="B553" s="52" t="s">
        <v>83</v>
      </c>
      <c r="C553" s="52" t="s">
        <v>219</v>
      </c>
      <c r="D553" s="52">
        <v>8.0</v>
      </c>
      <c r="E553" s="46">
        <f>if(ISNA(vlookup($A553, ESPN!$B$2:$E$281, 4, false)), 0, vlookup($A553, ESPN!$B$2:$E$281, 4, false))</f>
        <v>0</v>
      </c>
      <c r="F553" s="46">
        <f>if(ISNA(vlookup($A553, Scout.com!$B$2:$E$239, 4, false)), 0, vlookup($A553, Scout.com!$B$2:$E$239, 4, false))</f>
        <v>0</v>
      </c>
      <c r="G553" s="46">
        <f>if(ISNA(vlookup($A553, FantasyPro!$B$2:$E$318, 4, false)), 0, vlookup($A553, FantasyPro!$B$2:$E$318, 4, false))</f>
        <v>0</v>
      </c>
      <c r="H553" s="46">
        <f>if(ISNA(vlookup($A553, RotoWire!$B$2:$E$681, 4, false)), 0, vlookup($A553, RotoWire!$B$2:$E$681, 4, false))</f>
        <v>0</v>
      </c>
      <c r="I553" s="53">
        <f t="shared" si="1"/>
        <v>0</v>
      </c>
      <c r="J553" s="53">
        <f t="shared" si="2"/>
        <v>0</v>
      </c>
    </row>
    <row r="554">
      <c r="A554" s="51" t="s">
        <v>617</v>
      </c>
      <c r="B554" s="52" t="s">
        <v>75</v>
      </c>
      <c r="C554" s="52" t="s">
        <v>17</v>
      </c>
      <c r="D554" s="52">
        <v>7.0</v>
      </c>
      <c r="E554" s="46">
        <f>if(ISNA(vlookup($A554, ESPN!$B$2:$E$281, 4, false)), 0, vlookup($A554, ESPN!$B$2:$E$281, 4, false))</f>
        <v>0</v>
      </c>
      <c r="F554" s="46">
        <f>if(ISNA(vlookup($A554, Scout.com!$B$2:$E$239, 4, false)), 0, vlookup($A554, Scout.com!$B$2:$E$239, 4, false))</f>
        <v>0</v>
      </c>
      <c r="G554" s="46">
        <f>if(ISNA(vlookup($A554, FantasyPro!$B$2:$E$318, 4, false)), 0, vlookup($A554, FantasyPro!$B$2:$E$318, 4, false))</f>
        <v>0</v>
      </c>
      <c r="H554" s="46">
        <f>if(ISNA(vlookup($A554, RotoWire!$B$2:$E$681, 4, false)), 0, vlookup($A554, RotoWire!$B$2:$E$681, 4, false))</f>
        <v>0</v>
      </c>
      <c r="I554" s="53">
        <f t="shared" si="1"/>
        <v>0</v>
      </c>
      <c r="J554" s="53">
        <f t="shared" si="2"/>
        <v>0</v>
      </c>
    </row>
    <row r="555">
      <c r="A555" s="51" t="s">
        <v>263</v>
      </c>
      <c r="B555" s="52" t="s">
        <v>45</v>
      </c>
      <c r="C555" s="52" t="s">
        <v>97</v>
      </c>
      <c r="D555" s="52">
        <v>11.0</v>
      </c>
      <c r="E555" s="46">
        <f>if(ISNA(vlookup($A555, ESPN!$B$2:$E$281, 4, false)), 0, vlookup($A555, ESPN!$B$2:$E$281, 4, false))</f>
        <v>0</v>
      </c>
      <c r="F555" s="46">
        <f>if(ISNA(vlookup($A555, Scout.com!$B$2:$E$239, 4, false)), 0, vlookup($A555, Scout.com!$B$2:$E$239, 4, false))</f>
        <v>0</v>
      </c>
      <c r="G555" s="46">
        <f>if(ISNA(vlookup($A555, FantasyPro!$B$2:$E$318, 4, false)), 0, vlookup($A555, FantasyPro!$B$2:$E$318, 4, false))</f>
        <v>0</v>
      </c>
      <c r="H555" s="46">
        <f>if(ISNA(vlookup($A555, RotoWire!$B$2:$E$681, 4, false)), 0, vlookup($A555, RotoWire!$B$2:$E$681, 4, false))</f>
        <v>0</v>
      </c>
      <c r="I555" s="53">
        <f t="shared" si="1"/>
        <v>0</v>
      </c>
      <c r="J555" s="53">
        <f t="shared" si="2"/>
        <v>0</v>
      </c>
    </row>
    <row r="556">
      <c r="A556" s="51" t="s">
        <v>304</v>
      </c>
      <c r="B556" s="52" t="s">
        <v>11</v>
      </c>
      <c r="C556" s="52" t="s">
        <v>97</v>
      </c>
      <c r="D556" s="52">
        <v>9.0</v>
      </c>
      <c r="E556" s="46">
        <f>if(ISNA(vlookup($A556, ESPN!$B$2:$E$281, 4, false)), 0, vlookup($A556, ESPN!$B$2:$E$281, 4, false))</f>
        <v>0</v>
      </c>
      <c r="F556" s="46">
        <f>if(ISNA(vlookup($A556, Scout.com!$B$2:$E$239, 4, false)), 0, vlookup($A556, Scout.com!$B$2:$E$239, 4, false))</f>
        <v>0</v>
      </c>
      <c r="G556" s="46">
        <f>if(ISNA(vlookup($A556, FantasyPro!$B$2:$E$318, 4, false)), 0, vlookup($A556, FantasyPro!$B$2:$E$318, 4, false))</f>
        <v>0</v>
      </c>
      <c r="H556" s="46">
        <f>if(ISNA(vlookup($A556, RotoWire!$B$2:$E$681, 4, false)), 0, vlookup($A556, RotoWire!$B$2:$E$681, 4, false))</f>
        <v>0</v>
      </c>
      <c r="I556" s="53">
        <f t="shared" si="1"/>
        <v>0</v>
      </c>
      <c r="J556" s="53">
        <f t="shared" si="2"/>
        <v>0</v>
      </c>
    </row>
    <row r="557">
      <c r="A557" s="51" t="s">
        <v>194</v>
      </c>
      <c r="B557" s="52" t="s">
        <v>123</v>
      </c>
      <c r="C557" s="52" t="s">
        <v>7</v>
      </c>
      <c r="D557" s="52">
        <v>4.0</v>
      </c>
      <c r="E557" s="46">
        <f>if(ISNA(vlookup($A557, ESPN!$B$2:$E$281, 4, false)), 0, vlookup($A557, ESPN!$B$2:$E$281, 4, false))</f>
        <v>0</v>
      </c>
      <c r="F557" s="46">
        <f>if(ISNA(vlookup($A557, Scout.com!$B$2:$E$239, 4, false)), 0, vlookup($A557, Scout.com!$B$2:$E$239, 4, false))</f>
        <v>0</v>
      </c>
      <c r="G557" s="46">
        <f>if(ISNA(vlookup($A557, FantasyPro!$B$2:$E$318, 4, false)), 0, vlookup($A557, FantasyPro!$B$2:$E$318, 4, false))</f>
        <v>0</v>
      </c>
      <c r="H557" s="46">
        <f>if(ISNA(vlookup($A557, RotoWire!$B$2:$E$681, 4, false)), 0, vlookup($A557, RotoWire!$B$2:$E$681, 4, false))</f>
        <v>0</v>
      </c>
      <c r="I557" s="53">
        <f t="shared" si="1"/>
        <v>0</v>
      </c>
      <c r="J557" s="53">
        <f t="shared" si="2"/>
        <v>0</v>
      </c>
    </row>
    <row r="558">
      <c r="A558" s="51" t="s">
        <v>537</v>
      </c>
      <c r="B558" s="52" t="s">
        <v>26</v>
      </c>
      <c r="C558" s="52" t="s">
        <v>17</v>
      </c>
      <c r="D558" s="52">
        <v>10.0</v>
      </c>
      <c r="E558" s="46">
        <f>if(ISNA(vlookup($A558, ESPN!$B$2:$E$281, 4, false)), 0, vlookup($A558, ESPN!$B$2:$E$281, 4, false))</f>
        <v>0</v>
      </c>
      <c r="F558" s="46">
        <f>if(ISNA(vlookup($A558, Scout.com!$B$2:$E$239, 4, false)), 0, vlookup($A558, Scout.com!$B$2:$E$239, 4, false))</f>
        <v>0</v>
      </c>
      <c r="G558" s="46">
        <f>if(ISNA(vlookup($A558, FantasyPro!$B$2:$E$318, 4, false)), 0, vlookup($A558, FantasyPro!$B$2:$E$318, 4, false))</f>
        <v>0</v>
      </c>
      <c r="H558" s="46">
        <f>if(ISNA(vlookup($A558, RotoWire!$B$2:$E$681, 4, false)), 0, vlookup($A558, RotoWire!$B$2:$E$681, 4, false))</f>
        <v>0</v>
      </c>
      <c r="I558" s="53">
        <f t="shared" si="1"/>
        <v>0</v>
      </c>
      <c r="J558" s="53">
        <f t="shared" si="2"/>
        <v>0</v>
      </c>
    </row>
    <row r="559">
      <c r="A559" s="51" t="s">
        <v>668</v>
      </c>
      <c r="B559" s="52" t="s">
        <v>172</v>
      </c>
      <c r="C559" s="52" t="s">
        <v>97</v>
      </c>
      <c r="D559" s="54"/>
      <c r="E559" s="46">
        <f>if(ISNA(vlookup($A559, ESPN!$B$2:$E$281, 4, false)), 0, vlookup($A559, ESPN!$B$2:$E$281, 4, false))</f>
        <v>0</v>
      </c>
      <c r="F559" s="46">
        <f>if(ISNA(vlookup($A559, Scout.com!$B$2:$E$239, 4, false)), 0, vlookup($A559, Scout.com!$B$2:$E$239, 4, false))</f>
        <v>0</v>
      </c>
      <c r="G559" s="46">
        <f>if(ISNA(vlookup($A559, FantasyPro!$B$2:$E$318, 4, false)), 0, vlookup($A559, FantasyPro!$B$2:$E$318, 4, false))</f>
        <v>0</v>
      </c>
      <c r="H559" s="46">
        <f>if(ISNA(vlookup($A559, RotoWire!$B$2:$E$681, 4, false)), 0, vlookup($A559, RotoWire!$B$2:$E$681, 4, false))</f>
        <v>0</v>
      </c>
      <c r="I559" s="53">
        <f t="shared" si="1"/>
        <v>0</v>
      </c>
      <c r="J559" s="53">
        <f t="shared" si="2"/>
        <v>0</v>
      </c>
    </row>
    <row r="560">
      <c r="A560" s="51" t="s">
        <v>656</v>
      </c>
      <c r="B560" s="52" t="s">
        <v>9</v>
      </c>
      <c r="C560" s="52" t="s">
        <v>97</v>
      </c>
      <c r="D560" s="52">
        <v>12.0</v>
      </c>
      <c r="E560" s="46">
        <f>if(ISNA(vlookup($A560, ESPN!$B$2:$E$281, 4, false)), 0, vlookup($A560, ESPN!$B$2:$E$281, 4, false))</f>
        <v>0</v>
      </c>
      <c r="F560" s="46">
        <f>if(ISNA(vlookup($A560, Scout.com!$B$2:$E$239, 4, false)), 0, vlookup($A560, Scout.com!$B$2:$E$239, 4, false))</f>
        <v>0</v>
      </c>
      <c r="G560" s="46">
        <f>if(ISNA(vlookup($A560, FantasyPro!$B$2:$E$318, 4, false)), 0, vlookup($A560, FantasyPro!$B$2:$E$318, 4, false))</f>
        <v>0</v>
      </c>
      <c r="H560" s="46">
        <f>if(ISNA(vlookup($A560, RotoWire!$B$2:$E$681, 4, false)), 0, vlookup($A560, RotoWire!$B$2:$E$681, 4, false))</f>
        <v>0</v>
      </c>
      <c r="I560" s="53">
        <f t="shared" si="1"/>
        <v>0</v>
      </c>
      <c r="J560" s="53">
        <f t="shared" si="2"/>
        <v>0</v>
      </c>
    </row>
    <row r="561">
      <c r="A561" s="51" t="s">
        <v>389</v>
      </c>
      <c r="B561" s="52" t="s">
        <v>65</v>
      </c>
      <c r="C561" s="52" t="s">
        <v>219</v>
      </c>
      <c r="D561" s="52">
        <v>7.0</v>
      </c>
      <c r="E561" s="46">
        <f>if(ISNA(vlookup($A561, ESPN!$B$2:$E$281, 4, false)), 0, vlookup($A561, ESPN!$B$2:$E$281, 4, false))</f>
        <v>0</v>
      </c>
      <c r="F561" s="46">
        <f>if(ISNA(vlookup($A561, Scout.com!$B$2:$E$239, 4, false)), 0, vlookup($A561, Scout.com!$B$2:$E$239, 4, false))</f>
        <v>0</v>
      </c>
      <c r="G561" s="46">
        <f>if(ISNA(vlookup($A561, FantasyPro!$B$2:$E$318, 4, false)), 0, vlookup($A561, FantasyPro!$B$2:$E$318, 4, false))</f>
        <v>0</v>
      </c>
      <c r="H561" s="46">
        <f>if(ISNA(vlookup($A561, RotoWire!$B$2:$E$681, 4, false)), 0, vlookup($A561, RotoWire!$B$2:$E$681, 4, false))</f>
        <v>0</v>
      </c>
      <c r="I561" s="53">
        <f t="shared" si="1"/>
        <v>0</v>
      </c>
      <c r="J561" s="53">
        <f t="shared" si="2"/>
        <v>0</v>
      </c>
    </row>
    <row r="562">
      <c r="A562" s="51" t="s">
        <v>460</v>
      </c>
      <c r="B562" s="52" t="s">
        <v>67</v>
      </c>
      <c r="C562" s="52" t="s">
        <v>43</v>
      </c>
      <c r="D562" s="52">
        <v>11.0</v>
      </c>
      <c r="E562" s="46">
        <f>if(ISNA(vlookup($A562, ESPN!$B$2:$E$281, 4, false)), 0, vlookup($A562, ESPN!$B$2:$E$281, 4, false))</f>
        <v>0</v>
      </c>
      <c r="F562" s="46">
        <f>if(ISNA(vlookup($A562, Scout.com!$B$2:$E$239, 4, false)), 0, vlookup($A562, Scout.com!$B$2:$E$239, 4, false))</f>
        <v>0</v>
      </c>
      <c r="G562" s="46">
        <f>if(ISNA(vlookup($A562, FantasyPro!$B$2:$E$318, 4, false)), 0, vlookup($A562, FantasyPro!$B$2:$E$318, 4, false))</f>
        <v>0</v>
      </c>
      <c r="H562" s="46">
        <f>if(ISNA(vlookup($A562, RotoWire!$B$2:$E$681, 4, false)), 0, vlookup($A562, RotoWire!$B$2:$E$681, 4, false))</f>
        <v>0</v>
      </c>
      <c r="I562" s="53">
        <f t="shared" si="1"/>
        <v>0</v>
      </c>
      <c r="J562" s="53">
        <f t="shared" si="2"/>
        <v>0</v>
      </c>
    </row>
    <row r="563">
      <c r="A563" s="51" t="s">
        <v>482</v>
      </c>
      <c r="B563" s="52" t="s">
        <v>75</v>
      </c>
      <c r="C563" s="52" t="s">
        <v>17</v>
      </c>
      <c r="D563" s="52">
        <v>7.0</v>
      </c>
      <c r="E563" s="46">
        <f>if(ISNA(vlookup($A563, ESPN!$B$2:$E$281, 4, false)), 0, vlookup($A563, ESPN!$B$2:$E$281, 4, false))</f>
        <v>0</v>
      </c>
      <c r="F563" s="46">
        <f>if(ISNA(vlookup($A563, Scout.com!$B$2:$E$239, 4, false)), 0, vlookup($A563, Scout.com!$B$2:$E$239, 4, false))</f>
        <v>0</v>
      </c>
      <c r="G563" s="46">
        <f>if(ISNA(vlookup($A563, FantasyPro!$B$2:$E$318, 4, false)), 0, vlookup($A563, FantasyPro!$B$2:$E$318, 4, false))</f>
        <v>0</v>
      </c>
      <c r="H563" s="46">
        <f>if(ISNA(vlookup($A563, RotoWire!$B$2:$E$681, 4, false)), 0, vlookup($A563, RotoWire!$B$2:$E$681, 4, false))</f>
        <v>0</v>
      </c>
      <c r="I563" s="53">
        <f t="shared" si="1"/>
        <v>0</v>
      </c>
      <c r="J563" s="53">
        <f t="shared" si="2"/>
        <v>0</v>
      </c>
    </row>
    <row r="564">
      <c r="A564" s="51" t="s">
        <v>362</v>
      </c>
      <c r="B564" s="52" t="s">
        <v>21</v>
      </c>
      <c r="C564" s="52" t="s">
        <v>7</v>
      </c>
      <c r="D564" s="52">
        <v>6.0</v>
      </c>
      <c r="E564" s="46">
        <f>if(ISNA(vlookup($A564, ESPN!$B$2:$E$281, 4, false)), 0, vlookup($A564, ESPN!$B$2:$E$281, 4, false))</f>
        <v>0</v>
      </c>
      <c r="F564" s="46">
        <f>if(ISNA(vlookup($A564, Scout.com!$B$2:$E$239, 4, false)), 0, vlookup($A564, Scout.com!$B$2:$E$239, 4, false))</f>
        <v>0</v>
      </c>
      <c r="G564" s="46">
        <f>if(ISNA(vlookup($A564, FantasyPro!$B$2:$E$318, 4, false)), 0, vlookup($A564, FantasyPro!$B$2:$E$318, 4, false))</f>
        <v>0</v>
      </c>
      <c r="H564" s="46">
        <f>if(ISNA(vlookup($A564, RotoWire!$B$2:$E$681, 4, false)), 0, vlookup($A564, RotoWire!$B$2:$E$681, 4, false))</f>
        <v>0</v>
      </c>
      <c r="I564" s="53">
        <f t="shared" si="1"/>
        <v>0</v>
      </c>
      <c r="J564" s="53">
        <f t="shared" si="2"/>
        <v>0</v>
      </c>
    </row>
    <row r="565">
      <c r="A565" s="51" t="s">
        <v>522</v>
      </c>
      <c r="B565" s="52" t="s">
        <v>123</v>
      </c>
      <c r="C565" s="52" t="s">
        <v>17</v>
      </c>
      <c r="D565" s="52">
        <v>4.0</v>
      </c>
      <c r="E565" s="46">
        <f>if(ISNA(vlookup($A565, ESPN!$B$2:$E$281, 4, false)), 0, vlookup($A565, ESPN!$B$2:$E$281, 4, false))</f>
        <v>0</v>
      </c>
      <c r="F565" s="46">
        <f>if(ISNA(vlookup($A565, Scout.com!$B$2:$E$239, 4, false)), 0, vlookup($A565, Scout.com!$B$2:$E$239, 4, false))</f>
        <v>0</v>
      </c>
      <c r="G565" s="46">
        <f>if(ISNA(vlookup($A565, FantasyPro!$B$2:$E$318, 4, false)), 0, vlookup($A565, FantasyPro!$B$2:$E$318, 4, false))</f>
        <v>0</v>
      </c>
      <c r="H565" s="46">
        <f>if(ISNA(vlookup($A565, RotoWire!$B$2:$E$681, 4, false)), 0, vlookup($A565, RotoWire!$B$2:$E$681, 4, false))</f>
        <v>0</v>
      </c>
      <c r="I565" s="53">
        <f t="shared" si="1"/>
        <v>0</v>
      </c>
      <c r="J565" s="53">
        <f t="shared" si="2"/>
        <v>0</v>
      </c>
    </row>
    <row r="566">
      <c r="A566" s="51" t="s">
        <v>495</v>
      </c>
      <c r="B566" s="52" t="s">
        <v>26</v>
      </c>
      <c r="C566" s="52" t="s">
        <v>43</v>
      </c>
      <c r="D566" s="52">
        <v>10.0</v>
      </c>
      <c r="E566" s="46">
        <f>if(ISNA(vlookup($A566, ESPN!$B$2:$E$281, 4, false)), 0, vlookup($A566, ESPN!$B$2:$E$281, 4, false))</f>
        <v>0</v>
      </c>
      <c r="F566" s="46">
        <f>if(ISNA(vlookup($A566, Scout.com!$B$2:$E$239, 4, false)), 0, vlookup($A566, Scout.com!$B$2:$E$239, 4, false))</f>
        <v>0</v>
      </c>
      <c r="G566" s="46">
        <f>if(ISNA(vlookup($A566, FantasyPro!$B$2:$E$318, 4, false)), 0, vlookup($A566, FantasyPro!$B$2:$E$318, 4, false))</f>
        <v>0</v>
      </c>
      <c r="H566" s="46">
        <f>if(ISNA(vlookup($A566, RotoWire!$B$2:$E$681, 4, false)), 0, vlookup($A566, RotoWire!$B$2:$E$681, 4, false))</f>
        <v>0</v>
      </c>
      <c r="I566" s="53">
        <f t="shared" si="1"/>
        <v>0</v>
      </c>
      <c r="J566" s="53">
        <f t="shared" si="2"/>
        <v>0</v>
      </c>
    </row>
    <row r="567">
      <c r="A567" s="51" t="s">
        <v>548</v>
      </c>
      <c r="B567" s="52" t="s">
        <v>6</v>
      </c>
      <c r="C567" s="52" t="s">
        <v>7</v>
      </c>
      <c r="D567" s="52">
        <v>7.0</v>
      </c>
      <c r="E567" s="46">
        <f>if(ISNA(vlookup($A567, ESPN!$B$2:$E$281, 4, false)), 0, vlookup($A567, ESPN!$B$2:$E$281, 4, false))</f>
        <v>0</v>
      </c>
      <c r="F567" s="46">
        <f>if(ISNA(vlookup($A567, Scout.com!$B$2:$E$239, 4, false)), 0, vlookup($A567, Scout.com!$B$2:$E$239, 4, false))</f>
        <v>0</v>
      </c>
      <c r="G567" s="46">
        <f>if(ISNA(vlookup($A567, FantasyPro!$B$2:$E$318, 4, false)), 0, vlookup($A567, FantasyPro!$B$2:$E$318, 4, false))</f>
        <v>0</v>
      </c>
      <c r="H567" s="46">
        <f>if(ISNA(vlookup($A567, RotoWire!$B$2:$E$681, 4, false)), 0, vlookup($A567, RotoWire!$B$2:$E$681, 4, false))</f>
        <v>0</v>
      </c>
      <c r="I567" s="53">
        <f t="shared" si="1"/>
        <v>0</v>
      </c>
      <c r="J567" s="53">
        <f t="shared" si="2"/>
        <v>0</v>
      </c>
    </row>
    <row r="568">
      <c r="A568" s="51" t="s">
        <v>397</v>
      </c>
      <c r="B568" s="52" t="s">
        <v>70</v>
      </c>
      <c r="C568" s="52" t="s">
        <v>219</v>
      </c>
      <c r="D568" s="52">
        <v>11.0</v>
      </c>
      <c r="E568" s="46">
        <f>if(ISNA(vlookup($A568, ESPN!$B$2:$E$281, 4, false)), 0, vlookup($A568, ESPN!$B$2:$E$281, 4, false))</f>
        <v>0</v>
      </c>
      <c r="F568" s="46">
        <f>if(ISNA(vlookup($A568, Scout.com!$B$2:$E$239, 4, false)), 0, vlookup($A568, Scout.com!$B$2:$E$239, 4, false))</f>
        <v>0</v>
      </c>
      <c r="G568" s="46">
        <f>if(ISNA(vlookup($A568, FantasyPro!$B$2:$E$318, 4, false)), 0, vlookup($A568, FantasyPro!$B$2:$E$318, 4, false))</f>
        <v>0</v>
      </c>
      <c r="H568" s="46">
        <f>if(ISNA(vlookup($A568, RotoWire!$B$2:$E$681, 4, false)), 0, vlookup($A568, RotoWire!$B$2:$E$681, 4, false))</f>
        <v>0</v>
      </c>
      <c r="I568" s="53">
        <f t="shared" si="1"/>
        <v>0</v>
      </c>
      <c r="J568" s="53">
        <f t="shared" si="2"/>
        <v>0</v>
      </c>
    </row>
    <row r="569">
      <c r="A569" s="51" t="s">
        <v>567</v>
      </c>
      <c r="B569" s="52" t="s">
        <v>11</v>
      </c>
      <c r="C569" s="52" t="s">
        <v>7</v>
      </c>
      <c r="D569" s="52">
        <v>9.0</v>
      </c>
      <c r="E569" s="46">
        <f>if(ISNA(vlookup($A569, ESPN!$B$2:$E$281, 4, false)), 0, vlookup($A569, ESPN!$B$2:$E$281, 4, false))</f>
        <v>0</v>
      </c>
      <c r="F569" s="46">
        <f>if(ISNA(vlookup($A569, Scout.com!$B$2:$E$239, 4, false)), 0, vlookup($A569, Scout.com!$B$2:$E$239, 4, false))</f>
        <v>0</v>
      </c>
      <c r="G569" s="46">
        <f>if(ISNA(vlookup($A569, FantasyPro!$B$2:$E$318, 4, false)), 0, vlookup($A569, FantasyPro!$B$2:$E$318, 4, false))</f>
        <v>0</v>
      </c>
      <c r="H569" s="46">
        <f>if(ISNA(vlookup($A569, RotoWire!$B$2:$E$681, 4, false)), 0, vlookup($A569, RotoWire!$B$2:$E$681, 4, false))</f>
        <v>0</v>
      </c>
      <c r="I569" s="53">
        <f t="shared" si="1"/>
        <v>0</v>
      </c>
      <c r="J569" s="53">
        <f t="shared" si="2"/>
        <v>0</v>
      </c>
    </row>
    <row r="570">
      <c r="A570" s="51" t="s">
        <v>677</v>
      </c>
      <c r="B570" s="52" t="s">
        <v>172</v>
      </c>
      <c r="C570" s="52" t="s">
        <v>97</v>
      </c>
      <c r="D570" s="54"/>
      <c r="E570" s="46">
        <f>if(ISNA(vlookup($A570, ESPN!$B$2:$E$281, 4, false)), 0, vlookup($A570, ESPN!$B$2:$E$281, 4, false))</f>
        <v>0</v>
      </c>
      <c r="F570" s="46">
        <f>if(ISNA(vlookup($A570, Scout.com!$B$2:$E$239, 4, false)), 0, vlookup($A570, Scout.com!$B$2:$E$239, 4, false))</f>
        <v>0</v>
      </c>
      <c r="G570" s="46">
        <f>if(ISNA(vlookup($A570, FantasyPro!$B$2:$E$318, 4, false)), 0, vlookup($A570, FantasyPro!$B$2:$E$318, 4, false))</f>
        <v>0</v>
      </c>
      <c r="H570" s="46">
        <f>if(ISNA(vlookup($A570, RotoWire!$B$2:$E$681, 4, false)), 0, vlookup($A570, RotoWire!$B$2:$E$681, 4, false))</f>
        <v>0</v>
      </c>
      <c r="I570" s="53">
        <f t="shared" si="1"/>
        <v>0</v>
      </c>
      <c r="J570" s="53">
        <f t="shared" si="2"/>
        <v>0</v>
      </c>
    </row>
    <row r="571">
      <c r="A571" s="51" t="s">
        <v>278</v>
      </c>
      <c r="B571" s="55" t="s">
        <v>30</v>
      </c>
      <c r="C571" s="52" t="s">
        <v>7</v>
      </c>
      <c r="D571" s="52">
        <v>9.0</v>
      </c>
      <c r="E571" s="46">
        <f>if(ISNA(vlookup($A571, ESPN!$B$2:$E$281, 4, false)), 0, vlookup($A571, ESPN!$B$2:$E$281, 4, false))</f>
        <v>0</v>
      </c>
      <c r="F571" s="46">
        <f>if(ISNA(vlookup($A571, Scout.com!$B$2:$E$239, 4, false)), 0, vlookup($A571, Scout.com!$B$2:$E$239, 4, false))</f>
        <v>0</v>
      </c>
      <c r="G571" s="46">
        <f>if(ISNA(vlookup($A571, FantasyPro!$B$2:$E$318, 4, false)), 0, vlookup($A571, FantasyPro!$B$2:$E$318, 4, false))</f>
        <v>0</v>
      </c>
      <c r="H571" s="46">
        <f>if(ISNA(vlookup($A571, RotoWire!$B$2:$E$681, 4, false)), 0, vlookup($A571, RotoWire!$B$2:$E$681, 4, false))</f>
        <v>0</v>
      </c>
      <c r="I571" s="53">
        <f t="shared" si="1"/>
        <v>0</v>
      </c>
      <c r="J571" s="53">
        <f t="shared" si="2"/>
        <v>0</v>
      </c>
    </row>
    <row r="572">
      <c r="A572" s="51" t="s">
        <v>346</v>
      </c>
      <c r="B572" s="52" t="s">
        <v>49</v>
      </c>
      <c r="C572" s="52" t="s">
        <v>199</v>
      </c>
      <c r="D572" s="52">
        <v>5.0</v>
      </c>
      <c r="E572" s="46">
        <f>if(ISNA(vlookup($A572, ESPN!$B$2:$E$281, 4, false)), 0, vlookup($A572, ESPN!$B$2:$E$281, 4, false))</f>
        <v>0</v>
      </c>
      <c r="F572" s="46">
        <f>if(ISNA(vlookup($A572, Scout.com!$B$2:$E$239, 4, false)), 0, vlookup($A572, Scout.com!$B$2:$E$239, 4, false))</f>
        <v>0</v>
      </c>
      <c r="G572" s="46">
        <f>if(ISNA(vlookup($A572, FantasyPro!$B$2:$E$318, 4, false)), 0, vlookup($A572, FantasyPro!$B$2:$E$318, 4, false))</f>
        <v>0</v>
      </c>
      <c r="H572" s="46">
        <f>if(ISNA(vlookup($A572, RotoWire!$B$2:$E$681, 4, false)), 0, vlookup($A572, RotoWire!$B$2:$E$681, 4, false))</f>
        <v>0</v>
      </c>
      <c r="I572" s="53">
        <f t="shared" si="1"/>
        <v>0</v>
      </c>
      <c r="J572" s="53">
        <f t="shared" si="2"/>
        <v>0</v>
      </c>
    </row>
    <row r="573">
      <c r="A573" s="51" t="s">
        <v>672</v>
      </c>
      <c r="B573" s="55" t="s">
        <v>30</v>
      </c>
      <c r="C573" s="52" t="s">
        <v>97</v>
      </c>
      <c r="D573" s="52">
        <v>9.0</v>
      </c>
      <c r="E573" s="46">
        <f>if(ISNA(vlookup($A573, ESPN!$B$2:$E$281, 4, false)), 0, vlookup($A573, ESPN!$B$2:$E$281, 4, false))</f>
        <v>0</v>
      </c>
      <c r="F573" s="46">
        <f>if(ISNA(vlookup($A573, Scout.com!$B$2:$E$239, 4, false)), 0, vlookup($A573, Scout.com!$B$2:$E$239, 4, false))</f>
        <v>0</v>
      </c>
      <c r="G573" s="46">
        <f>if(ISNA(vlookup($A573, FantasyPro!$B$2:$E$318, 4, false)), 0, vlookup($A573, FantasyPro!$B$2:$E$318, 4, false))</f>
        <v>0</v>
      </c>
      <c r="H573" s="46">
        <f>if(ISNA(vlookup($A573, RotoWire!$B$2:$E$681, 4, false)), 0, vlookup($A573, RotoWire!$B$2:$E$681, 4, false))</f>
        <v>0</v>
      </c>
      <c r="I573" s="53">
        <f t="shared" si="1"/>
        <v>0</v>
      </c>
      <c r="J573" s="53">
        <f t="shared" si="2"/>
        <v>0</v>
      </c>
    </row>
    <row r="574">
      <c r="A574" s="51" t="s">
        <v>486</v>
      </c>
      <c r="B574" s="52" t="s">
        <v>51</v>
      </c>
      <c r="C574" s="52" t="s">
        <v>7</v>
      </c>
      <c r="D574" s="52">
        <v>5.0</v>
      </c>
      <c r="E574" s="46">
        <f>if(ISNA(vlookup($A574, ESPN!$B$2:$E$281, 4, false)), 0, vlookup($A574, ESPN!$B$2:$E$281, 4, false))</f>
        <v>0</v>
      </c>
      <c r="F574" s="46">
        <f>if(ISNA(vlookup($A574, Scout.com!$B$2:$E$239, 4, false)), 0, vlookup($A574, Scout.com!$B$2:$E$239, 4, false))</f>
        <v>0</v>
      </c>
      <c r="G574" s="46">
        <f>if(ISNA(vlookup($A574, FantasyPro!$B$2:$E$318, 4, false)), 0, vlookup($A574, FantasyPro!$B$2:$E$318, 4, false))</f>
        <v>0</v>
      </c>
      <c r="H574" s="46">
        <f>if(ISNA(vlookup($A574, RotoWire!$B$2:$E$681, 4, false)), 0, vlookup($A574, RotoWire!$B$2:$E$681, 4, false))</f>
        <v>0</v>
      </c>
      <c r="I574" s="53">
        <f t="shared" si="1"/>
        <v>0</v>
      </c>
      <c r="J574" s="53">
        <f t="shared" si="2"/>
        <v>0</v>
      </c>
    </row>
    <row r="575">
      <c r="A575" s="51" t="s">
        <v>587</v>
      </c>
      <c r="B575" s="52" t="s">
        <v>172</v>
      </c>
      <c r="C575" s="52" t="s">
        <v>17</v>
      </c>
      <c r="D575" s="54"/>
      <c r="E575" s="46">
        <f>if(ISNA(vlookup($A575, ESPN!$B$2:$E$281, 4, false)), 0, vlookup($A575, ESPN!$B$2:$E$281, 4, false))</f>
        <v>0</v>
      </c>
      <c r="F575" s="46">
        <f>if(ISNA(vlookup($A575, Scout.com!$B$2:$E$239, 4, false)), 0, vlookup($A575, Scout.com!$B$2:$E$239, 4, false))</f>
        <v>0</v>
      </c>
      <c r="G575" s="46">
        <f>if(ISNA(vlookup($A575, FantasyPro!$B$2:$E$318, 4, false)), 0, vlookup($A575, FantasyPro!$B$2:$E$318, 4, false))</f>
        <v>0</v>
      </c>
      <c r="H575" s="46">
        <f>if(ISNA(vlookup($A575, RotoWire!$B$2:$E$681, 4, false)), 0, vlookup($A575, RotoWire!$B$2:$E$681, 4, false))</f>
        <v>0</v>
      </c>
      <c r="I575" s="53">
        <f t="shared" si="1"/>
        <v>0</v>
      </c>
      <c r="J575" s="53">
        <f t="shared" si="2"/>
        <v>0</v>
      </c>
    </row>
    <row r="576">
      <c r="A576" s="51" t="s">
        <v>284</v>
      </c>
      <c r="B576" s="52" t="s">
        <v>13</v>
      </c>
      <c r="C576" s="52" t="s">
        <v>17</v>
      </c>
      <c r="D576" s="52">
        <v>8.0</v>
      </c>
      <c r="E576" s="46">
        <f>if(ISNA(vlookup($A576, ESPN!$B$2:$E$281, 4, false)), 0, vlookup($A576, ESPN!$B$2:$E$281, 4, false))</f>
        <v>0</v>
      </c>
      <c r="F576" s="46">
        <f>if(ISNA(vlookup($A576, Scout.com!$B$2:$E$239, 4, false)), 0, vlookup($A576, Scout.com!$B$2:$E$239, 4, false))</f>
        <v>0</v>
      </c>
      <c r="G576" s="46">
        <f>if(ISNA(vlookup($A576, FantasyPro!$B$2:$E$318, 4, false)), 0, vlookup($A576, FantasyPro!$B$2:$E$318, 4, false))</f>
        <v>0</v>
      </c>
      <c r="H576" s="46">
        <f>if(ISNA(vlookup($A576, RotoWire!$B$2:$E$681, 4, false)), 0, vlookup($A576, RotoWire!$B$2:$E$681, 4, false))</f>
        <v>0</v>
      </c>
      <c r="I576" s="53">
        <f t="shared" si="1"/>
        <v>0</v>
      </c>
      <c r="J576" s="53">
        <f t="shared" si="2"/>
        <v>0</v>
      </c>
    </row>
    <row r="577">
      <c r="A577" s="51" t="s">
        <v>383</v>
      </c>
      <c r="B577" s="52" t="s">
        <v>51</v>
      </c>
      <c r="C577" s="52" t="s">
        <v>17</v>
      </c>
      <c r="D577" s="52">
        <v>5.0</v>
      </c>
      <c r="E577" s="46">
        <f>if(ISNA(vlookup($A577, ESPN!$B$2:$E$281, 4, false)), 0, vlookup($A577, ESPN!$B$2:$E$281, 4, false))</f>
        <v>0</v>
      </c>
      <c r="F577" s="46">
        <f>if(ISNA(vlookup($A577, Scout.com!$B$2:$E$239, 4, false)), 0, vlookup($A577, Scout.com!$B$2:$E$239, 4, false))</f>
        <v>0</v>
      </c>
      <c r="G577" s="46">
        <f>if(ISNA(vlookup($A577, FantasyPro!$B$2:$E$318, 4, false)), 0, vlookup($A577, FantasyPro!$B$2:$E$318, 4, false))</f>
        <v>0</v>
      </c>
      <c r="H577" s="46">
        <f>if(ISNA(vlookup($A577, RotoWire!$B$2:$E$681, 4, false)), 0, vlookup($A577, RotoWire!$B$2:$E$681, 4, false))</f>
        <v>0</v>
      </c>
      <c r="I577" s="53">
        <f t="shared" si="1"/>
        <v>0</v>
      </c>
      <c r="J577" s="53">
        <f t="shared" si="2"/>
        <v>0</v>
      </c>
    </row>
    <row r="578">
      <c r="A578" s="51" t="s">
        <v>658</v>
      </c>
      <c r="B578" s="52" t="s">
        <v>21</v>
      </c>
      <c r="C578" s="52" t="s">
        <v>97</v>
      </c>
      <c r="D578" s="52">
        <v>6.0</v>
      </c>
      <c r="E578" s="46">
        <f>if(ISNA(vlookup($A578, ESPN!$B$2:$E$281, 4, false)), 0, vlookup($A578, ESPN!$B$2:$E$281, 4, false))</f>
        <v>0</v>
      </c>
      <c r="F578" s="46">
        <f>if(ISNA(vlookup($A578, Scout.com!$B$2:$E$239, 4, false)), 0, vlookup($A578, Scout.com!$B$2:$E$239, 4, false))</f>
        <v>0</v>
      </c>
      <c r="G578" s="46">
        <f>if(ISNA(vlookup($A578, FantasyPro!$B$2:$E$318, 4, false)), 0, vlookup($A578, FantasyPro!$B$2:$E$318, 4, false))</f>
        <v>0</v>
      </c>
      <c r="H578" s="46">
        <f>if(ISNA(vlookup($A578, RotoWire!$B$2:$E$681, 4, false)), 0, vlookup($A578, RotoWire!$B$2:$E$681, 4, false))</f>
        <v>0</v>
      </c>
      <c r="I578" s="53">
        <f t="shared" si="1"/>
        <v>0</v>
      </c>
      <c r="J578" s="53">
        <f t="shared" si="2"/>
        <v>0</v>
      </c>
    </row>
    <row r="579">
      <c r="A579" s="51" t="s">
        <v>634</v>
      </c>
      <c r="B579" s="52" t="s">
        <v>95</v>
      </c>
      <c r="C579" s="52" t="s">
        <v>97</v>
      </c>
      <c r="D579" s="52">
        <v>11.0</v>
      </c>
      <c r="E579" s="46">
        <f>if(ISNA(vlookup($A579, ESPN!$B$2:$E$281, 4, false)), 0, vlookup($A579, ESPN!$B$2:$E$281, 4, false))</f>
        <v>0</v>
      </c>
      <c r="F579" s="46">
        <f>if(ISNA(vlookup($A579, Scout.com!$B$2:$E$239, 4, false)), 0, vlookup($A579, Scout.com!$B$2:$E$239, 4, false))</f>
        <v>0</v>
      </c>
      <c r="G579" s="46">
        <f>if(ISNA(vlookup($A579, FantasyPro!$B$2:$E$318, 4, false)), 0, vlookup($A579, FantasyPro!$B$2:$E$318, 4, false))</f>
        <v>0</v>
      </c>
      <c r="H579" s="46">
        <f>if(ISNA(vlookup($A579, RotoWire!$B$2:$E$681, 4, false)), 0, vlookup($A579, RotoWire!$B$2:$E$681, 4, false))</f>
        <v>0</v>
      </c>
      <c r="I579" s="53">
        <f t="shared" si="1"/>
        <v>0</v>
      </c>
      <c r="J579" s="53">
        <f t="shared" si="2"/>
        <v>0</v>
      </c>
    </row>
    <row r="580">
      <c r="A580" s="51" t="s">
        <v>308</v>
      </c>
      <c r="B580" s="52" t="s">
        <v>21</v>
      </c>
      <c r="C580" s="52" t="s">
        <v>7</v>
      </c>
      <c r="D580" s="52">
        <v>6.0</v>
      </c>
      <c r="E580" s="46">
        <f>if(ISNA(vlookup($A580, ESPN!$B$2:$E$281, 4, false)), 0, vlookup($A580, ESPN!$B$2:$E$281, 4, false))</f>
        <v>0</v>
      </c>
      <c r="F580" s="46">
        <f>if(ISNA(vlookup($A580, Scout.com!$B$2:$E$239, 4, false)), 0, vlookup($A580, Scout.com!$B$2:$E$239, 4, false))</f>
        <v>0</v>
      </c>
      <c r="G580" s="46">
        <f>if(ISNA(vlookup($A580, FantasyPro!$B$2:$E$318, 4, false)), 0, vlookup($A580, FantasyPro!$B$2:$E$318, 4, false))</f>
        <v>0</v>
      </c>
      <c r="H580" s="46">
        <f>if(ISNA(vlookup($A580, RotoWire!$B$2:$E$681, 4, false)), 0, vlookup($A580, RotoWire!$B$2:$E$681, 4, false))</f>
        <v>0</v>
      </c>
      <c r="I580" s="53">
        <f t="shared" si="1"/>
        <v>0</v>
      </c>
      <c r="J580" s="53">
        <f t="shared" si="2"/>
        <v>0</v>
      </c>
    </row>
    <row r="581">
      <c r="A581" s="51" t="s">
        <v>261</v>
      </c>
      <c r="B581" s="52" t="s">
        <v>13</v>
      </c>
      <c r="C581" s="52" t="s">
        <v>17</v>
      </c>
      <c r="D581" s="52">
        <v>8.0</v>
      </c>
      <c r="E581" s="46">
        <f>if(ISNA(vlookup($A581, ESPN!$B$2:$E$281, 4, false)), 0, vlookup($A581, ESPN!$B$2:$E$281, 4, false))</f>
        <v>0</v>
      </c>
      <c r="F581" s="46">
        <f>if(ISNA(vlookup($A581, Scout.com!$B$2:$E$239, 4, false)), 0, vlookup($A581, Scout.com!$B$2:$E$239, 4, false))</f>
        <v>0</v>
      </c>
      <c r="G581" s="46">
        <f>if(ISNA(vlookup($A581, FantasyPro!$B$2:$E$318, 4, false)), 0, vlookup($A581, FantasyPro!$B$2:$E$318, 4, false))</f>
        <v>0</v>
      </c>
      <c r="H581" s="46">
        <f>if(ISNA(vlookup($A581, RotoWire!$B$2:$E$681, 4, false)), 0, vlookup($A581, RotoWire!$B$2:$E$681, 4, false))</f>
        <v>0</v>
      </c>
      <c r="I581" s="53">
        <f t="shared" si="1"/>
        <v>0</v>
      </c>
      <c r="J581" s="53">
        <f t="shared" si="2"/>
        <v>0</v>
      </c>
    </row>
    <row r="582">
      <c r="A582" s="51" t="s">
        <v>425</v>
      </c>
      <c r="B582" s="52" t="s">
        <v>95</v>
      </c>
      <c r="C582" s="52" t="s">
        <v>17</v>
      </c>
      <c r="D582" s="52">
        <v>11.0</v>
      </c>
      <c r="E582" s="46">
        <f>if(ISNA(vlookup($A582, ESPN!$B$2:$E$281, 4, false)), 0, vlookup($A582, ESPN!$B$2:$E$281, 4, false))</f>
        <v>0</v>
      </c>
      <c r="F582" s="46">
        <f>if(ISNA(vlookup($A582, Scout.com!$B$2:$E$239, 4, false)), 0, vlookup($A582, Scout.com!$B$2:$E$239, 4, false))</f>
        <v>0</v>
      </c>
      <c r="G582" s="46">
        <f>if(ISNA(vlookup($A582, FantasyPro!$B$2:$E$318, 4, false)), 0, vlookup($A582, FantasyPro!$B$2:$E$318, 4, false))</f>
        <v>0</v>
      </c>
      <c r="H582" s="46">
        <f>if(ISNA(vlookup($A582, RotoWire!$B$2:$E$681, 4, false)), 0, vlookup($A582, RotoWire!$B$2:$E$681, 4, false))</f>
        <v>0</v>
      </c>
      <c r="I582" s="53">
        <f t="shared" si="1"/>
        <v>0</v>
      </c>
      <c r="J582" s="53">
        <f t="shared" si="2"/>
        <v>0</v>
      </c>
    </row>
    <row r="583">
      <c r="A583" s="51" t="s">
        <v>580</v>
      </c>
      <c r="B583" s="52" t="s">
        <v>172</v>
      </c>
      <c r="C583" s="52" t="s">
        <v>7</v>
      </c>
      <c r="D583" s="54"/>
      <c r="E583" s="46">
        <f>if(ISNA(vlookup($A583, ESPN!$B$2:$E$281, 4, false)), 0, vlookup($A583, ESPN!$B$2:$E$281, 4, false))</f>
        <v>0</v>
      </c>
      <c r="F583" s="46">
        <f>if(ISNA(vlookup($A583, Scout.com!$B$2:$E$239, 4, false)), 0, vlookup($A583, Scout.com!$B$2:$E$239, 4, false))</f>
        <v>0</v>
      </c>
      <c r="G583" s="46">
        <f>if(ISNA(vlookup($A583, FantasyPro!$B$2:$E$318, 4, false)), 0, vlookup($A583, FantasyPro!$B$2:$E$318, 4, false))</f>
        <v>0</v>
      </c>
      <c r="H583" s="46">
        <f>if(ISNA(vlookup($A583, RotoWire!$B$2:$E$681, 4, false)), 0, vlookup($A583, RotoWire!$B$2:$E$681, 4, false))</f>
        <v>0</v>
      </c>
      <c r="I583" s="53">
        <f t="shared" si="1"/>
        <v>0</v>
      </c>
      <c r="J583" s="53">
        <f t="shared" si="2"/>
        <v>0</v>
      </c>
    </row>
    <row r="584">
      <c r="A584" s="51" t="s">
        <v>452</v>
      </c>
      <c r="B584" s="52" t="s">
        <v>95</v>
      </c>
      <c r="C584" s="52" t="s">
        <v>7</v>
      </c>
      <c r="D584" s="52">
        <v>11.0</v>
      </c>
      <c r="E584" s="46">
        <f>if(ISNA(vlookup($A584, ESPN!$B$2:$E$281, 4, false)), 0, vlookup($A584, ESPN!$B$2:$E$281, 4, false))</f>
        <v>0</v>
      </c>
      <c r="F584" s="46">
        <f>if(ISNA(vlookup($A584, Scout.com!$B$2:$E$239, 4, false)), 0, vlookup($A584, Scout.com!$B$2:$E$239, 4, false))</f>
        <v>0</v>
      </c>
      <c r="G584" s="46">
        <f>if(ISNA(vlookup($A584, FantasyPro!$B$2:$E$318, 4, false)), 0, vlookup($A584, FantasyPro!$B$2:$E$318, 4, false))</f>
        <v>0</v>
      </c>
      <c r="H584" s="46">
        <f>if(ISNA(vlookup($A584, RotoWire!$B$2:$E$681, 4, false)), 0, vlookup($A584, RotoWire!$B$2:$E$681, 4, false))</f>
        <v>0</v>
      </c>
      <c r="I584" s="53">
        <f t="shared" si="1"/>
        <v>0</v>
      </c>
      <c r="J584" s="53">
        <f t="shared" si="2"/>
        <v>0</v>
      </c>
    </row>
    <row r="585">
      <c r="A585" s="51" t="s">
        <v>481</v>
      </c>
      <c r="B585" s="52" t="s">
        <v>53</v>
      </c>
      <c r="C585" s="52" t="s">
        <v>7</v>
      </c>
      <c r="D585" s="52">
        <v>9.0</v>
      </c>
      <c r="E585" s="46">
        <f>if(ISNA(vlookup($A585, ESPN!$B$2:$E$281, 4, false)), 0, vlookup($A585, ESPN!$B$2:$E$281, 4, false))</f>
        <v>0</v>
      </c>
      <c r="F585" s="46">
        <f>if(ISNA(vlookup($A585, Scout.com!$B$2:$E$239, 4, false)), 0, vlookup($A585, Scout.com!$B$2:$E$239, 4, false))</f>
        <v>0</v>
      </c>
      <c r="G585" s="46">
        <f>if(ISNA(vlookup($A585, FantasyPro!$B$2:$E$318, 4, false)), 0, vlookup($A585, FantasyPro!$B$2:$E$318, 4, false))</f>
        <v>0</v>
      </c>
      <c r="H585" s="46">
        <f>if(ISNA(vlookup($A585, RotoWire!$B$2:$E$681, 4, false)), 0, vlookup($A585, RotoWire!$B$2:$E$681, 4, false))</f>
        <v>0</v>
      </c>
      <c r="I585" s="53">
        <f t="shared" si="1"/>
        <v>0</v>
      </c>
      <c r="J585" s="53">
        <f t="shared" si="2"/>
        <v>0</v>
      </c>
    </row>
    <row r="586">
      <c r="A586" s="51" t="s">
        <v>485</v>
      </c>
      <c r="B586" s="52" t="s">
        <v>77</v>
      </c>
      <c r="C586" s="52" t="s">
        <v>17</v>
      </c>
      <c r="D586" s="52">
        <v>6.0</v>
      </c>
      <c r="E586" s="46">
        <f>if(ISNA(vlookup($A586, ESPN!$B$2:$E$281, 4, false)), 0, vlookup($A586, ESPN!$B$2:$E$281, 4, false))</f>
        <v>0</v>
      </c>
      <c r="F586" s="46">
        <f>if(ISNA(vlookup($A586, Scout.com!$B$2:$E$239, 4, false)), 0, vlookup($A586, Scout.com!$B$2:$E$239, 4, false))</f>
        <v>0</v>
      </c>
      <c r="G586" s="46">
        <f>if(ISNA(vlookup($A586, FantasyPro!$B$2:$E$318, 4, false)), 0, vlookup($A586, FantasyPro!$B$2:$E$318, 4, false))</f>
        <v>0</v>
      </c>
      <c r="H586" s="46">
        <f>if(ISNA(vlookup($A586, RotoWire!$B$2:$E$681, 4, false)), 0, vlookup($A586, RotoWire!$B$2:$E$681, 4, false))</f>
        <v>0</v>
      </c>
      <c r="I586" s="53">
        <f t="shared" si="1"/>
        <v>0</v>
      </c>
      <c r="J586" s="53">
        <f t="shared" si="2"/>
        <v>0</v>
      </c>
    </row>
    <row r="587">
      <c r="A587" s="51" t="s">
        <v>667</v>
      </c>
      <c r="B587" s="52" t="s">
        <v>21</v>
      </c>
      <c r="C587" s="52" t="s">
        <v>97</v>
      </c>
      <c r="D587" s="52">
        <v>6.0</v>
      </c>
      <c r="E587" s="46">
        <f>if(ISNA(vlookup($A587, ESPN!$B$2:$E$281, 4, false)), 0, vlookup($A587, ESPN!$B$2:$E$281, 4, false))</f>
        <v>0</v>
      </c>
      <c r="F587" s="46">
        <f>if(ISNA(vlookup($A587, Scout.com!$B$2:$E$239, 4, false)), 0, vlookup($A587, Scout.com!$B$2:$E$239, 4, false))</f>
        <v>0</v>
      </c>
      <c r="G587" s="46">
        <f>if(ISNA(vlookup($A587, FantasyPro!$B$2:$E$318, 4, false)), 0, vlookup($A587, FantasyPro!$B$2:$E$318, 4, false))</f>
        <v>0</v>
      </c>
      <c r="H587" s="46">
        <f>if(ISNA(vlookup($A587, RotoWire!$B$2:$E$681, 4, false)), 0, vlookup($A587, RotoWire!$B$2:$E$681, 4, false))</f>
        <v>0</v>
      </c>
      <c r="I587" s="53">
        <f t="shared" si="1"/>
        <v>0</v>
      </c>
      <c r="J587" s="53">
        <f t="shared" si="2"/>
        <v>0</v>
      </c>
    </row>
    <row r="588">
      <c r="A588" s="51" t="s">
        <v>561</v>
      </c>
      <c r="B588" s="52" t="s">
        <v>21</v>
      </c>
      <c r="C588" s="52" t="s">
        <v>17</v>
      </c>
      <c r="D588" s="52">
        <v>6.0</v>
      </c>
      <c r="E588" s="46">
        <f>if(ISNA(vlookup($A588, ESPN!$B$2:$E$281, 4, false)), 0, vlookup($A588, ESPN!$B$2:$E$281, 4, false))</f>
        <v>0</v>
      </c>
      <c r="F588" s="46">
        <f>if(ISNA(vlookup($A588, Scout.com!$B$2:$E$239, 4, false)), 0, vlookup($A588, Scout.com!$B$2:$E$239, 4, false))</f>
        <v>0</v>
      </c>
      <c r="G588" s="46">
        <f>if(ISNA(vlookup($A588, FantasyPro!$B$2:$E$318, 4, false)), 0, vlookup($A588, FantasyPro!$B$2:$E$318, 4, false))</f>
        <v>0</v>
      </c>
      <c r="H588" s="46">
        <f>if(ISNA(vlookup($A588, RotoWire!$B$2:$E$681, 4, false)), 0, vlookup($A588, RotoWire!$B$2:$E$681, 4, false))</f>
        <v>0</v>
      </c>
      <c r="I588" s="53">
        <f t="shared" si="1"/>
        <v>0</v>
      </c>
      <c r="J588" s="53">
        <f t="shared" si="2"/>
        <v>0</v>
      </c>
    </row>
    <row r="589">
      <c r="A589" s="51" t="s">
        <v>429</v>
      </c>
      <c r="B589" s="52" t="s">
        <v>41</v>
      </c>
      <c r="C589" s="52" t="s">
        <v>17</v>
      </c>
      <c r="D589" s="52">
        <v>4.0</v>
      </c>
      <c r="E589" s="46">
        <f>if(ISNA(vlookup($A589, ESPN!$B$2:$E$281, 4, false)), 0, vlookup($A589, ESPN!$B$2:$E$281, 4, false))</f>
        <v>0</v>
      </c>
      <c r="F589" s="46">
        <f>if(ISNA(vlookup($A589, Scout.com!$B$2:$E$239, 4, false)), 0, vlookup($A589, Scout.com!$B$2:$E$239, 4, false))</f>
        <v>0</v>
      </c>
      <c r="G589" s="46">
        <f>if(ISNA(vlookup($A589, FantasyPro!$B$2:$E$318, 4, false)), 0, vlookup($A589, FantasyPro!$B$2:$E$318, 4, false))</f>
        <v>0</v>
      </c>
      <c r="H589" s="46">
        <f>if(ISNA(vlookup($A589, RotoWire!$B$2:$E$681, 4, false)), 0, vlookup($A589, RotoWire!$B$2:$E$681, 4, false))</f>
        <v>0</v>
      </c>
      <c r="I589" s="53">
        <f t="shared" si="1"/>
        <v>0</v>
      </c>
      <c r="J589" s="53">
        <f t="shared" si="2"/>
        <v>0</v>
      </c>
    </row>
    <row r="590">
      <c r="A590" s="51" t="s">
        <v>360</v>
      </c>
      <c r="B590" s="52" t="s">
        <v>70</v>
      </c>
      <c r="C590" s="52" t="s">
        <v>7</v>
      </c>
      <c r="D590" s="52">
        <v>11.0</v>
      </c>
      <c r="E590" s="46">
        <f>if(ISNA(vlookup($A590, ESPN!$B$2:$E$281, 4, false)), 0, vlookup($A590, ESPN!$B$2:$E$281, 4, false))</f>
        <v>0</v>
      </c>
      <c r="F590" s="46">
        <f>if(ISNA(vlookup($A590, Scout.com!$B$2:$E$239, 4, false)), 0, vlookup($A590, Scout.com!$B$2:$E$239, 4, false))</f>
        <v>0</v>
      </c>
      <c r="G590" s="46">
        <f>if(ISNA(vlookup($A590, FantasyPro!$B$2:$E$318, 4, false)), 0, vlookup($A590, FantasyPro!$B$2:$E$318, 4, false))</f>
        <v>0</v>
      </c>
      <c r="H590" s="46">
        <f>if(ISNA(vlookup($A590, RotoWire!$B$2:$E$681, 4, false)), 0, vlookup($A590, RotoWire!$B$2:$E$681, 4, false))</f>
        <v>0</v>
      </c>
      <c r="I590" s="53">
        <f t="shared" si="1"/>
        <v>0</v>
      </c>
      <c r="J590" s="53">
        <f t="shared" si="2"/>
        <v>0</v>
      </c>
    </row>
    <row r="591">
      <c r="A591" s="51" t="s">
        <v>273</v>
      </c>
      <c r="B591" s="52" t="s">
        <v>34</v>
      </c>
      <c r="C591" s="52" t="s">
        <v>17</v>
      </c>
      <c r="D591" s="52">
        <v>8.0</v>
      </c>
      <c r="E591" s="46">
        <f>if(ISNA(vlookup($A591, ESPN!$B$2:$E$281, 4, false)), 0, vlookup($A591, ESPN!$B$2:$E$281, 4, false))</f>
        <v>0</v>
      </c>
      <c r="F591" s="46">
        <f>if(ISNA(vlookup($A591, Scout.com!$B$2:$E$239, 4, false)), 0, vlookup($A591, Scout.com!$B$2:$E$239, 4, false))</f>
        <v>0</v>
      </c>
      <c r="G591" s="46">
        <f>if(ISNA(vlookup($A591, FantasyPro!$B$2:$E$318, 4, false)), 0, vlookup($A591, FantasyPro!$B$2:$E$318, 4, false))</f>
        <v>0</v>
      </c>
      <c r="H591" s="46">
        <f>if(ISNA(vlookup($A591, RotoWire!$B$2:$E$681, 4, false)), 0, vlookup($A591, RotoWire!$B$2:$E$681, 4, false))</f>
        <v>0</v>
      </c>
      <c r="I591" s="53">
        <f t="shared" si="1"/>
        <v>0</v>
      </c>
      <c r="J591" s="53">
        <f t="shared" si="2"/>
        <v>0</v>
      </c>
    </row>
    <row r="592">
      <c r="A592" s="51" t="s">
        <v>410</v>
      </c>
      <c r="B592" s="52" t="s">
        <v>172</v>
      </c>
      <c r="C592" s="52" t="s">
        <v>219</v>
      </c>
      <c r="D592" s="54"/>
      <c r="E592" s="46">
        <f>if(ISNA(vlookup($A592, ESPN!$B$2:$E$281, 4, false)), 0, vlookup($A592, ESPN!$B$2:$E$281, 4, false))</f>
        <v>0</v>
      </c>
      <c r="F592" s="46">
        <f>if(ISNA(vlookup($A592, Scout.com!$B$2:$E$239, 4, false)), 0, vlookup($A592, Scout.com!$B$2:$E$239, 4, false))</f>
        <v>0</v>
      </c>
      <c r="G592" s="46">
        <f>if(ISNA(vlookup($A592, FantasyPro!$B$2:$E$318, 4, false)), 0, vlookup($A592, FantasyPro!$B$2:$E$318, 4, false))</f>
        <v>0</v>
      </c>
      <c r="H592" s="46">
        <f>if(ISNA(vlookup($A592, RotoWire!$B$2:$E$681, 4, false)), 0, vlookup($A592, RotoWire!$B$2:$E$681, 4, false))</f>
        <v>0</v>
      </c>
      <c r="I592" s="53">
        <f t="shared" si="1"/>
        <v>0</v>
      </c>
      <c r="J592" s="53">
        <f t="shared" si="2"/>
        <v>0</v>
      </c>
    </row>
    <row r="593">
      <c r="A593" s="51" t="s">
        <v>474</v>
      </c>
      <c r="B593" s="52" t="s">
        <v>95</v>
      </c>
      <c r="C593" s="52" t="s">
        <v>17</v>
      </c>
      <c r="D593" s="52">
        <v>11.0</v>
      </c>
      <c r="E593" s="46">
        <f>if(ISNA(vlookup($A593, ESPN!$B$2:$E$281, 4, false)), 0, vlookup($A593, ESPN!$B$2:$E$281, 4, false))</f>
        <v>0</v>
      </c>
      <c r="F593" s="46">
        <f>if(ISNA(vlookup($A593, Scout.com!$B$2:$E$239, 4, false)), 0, vlookup($A593, Scout.com!$B$2:$E$239, 4, false))</f>
        <v>0</v>
      </c>
      <c r="G593" s="46">
        <f>if(ISNA(vlookup($A593, FantasyPro!$B$2:$E$318, 4, false)), 0, vlookup($A593, FantasyPro!$B$2:$E$318, 4, false))</f>
        <v>0</v>
      </c>
      <c r="H593" s="46">
        <f>if(ISNA(vlookup($A593, RotoWire!$B$2:$E$681, 4, false)), 0, vlookup($A593, RotoWire!$B$2:$E$681, 4, false))</f>
        <v>0</v>
      </c>
      <c r="I593" s="53">
        <f t="shared" si="1"/>
        <v>0</v>
      </c>
      <c r="J593" s="53">
        <f t="shared" si="2"/>
        <v>0</v>
      </c>
    </row>
    <row r="594">
      <c r="A594" s="51" t="s">
        <v>584</v>
      </c>
      <c r="B594" s="52" t="s">
        <v>95</v>
      </c>
      <c r="C594" s="52" t="s">
        <v>7</v>
      </c>
      <c r="D594" s="52">
        <v>11.0</v>
      </c>
      <c r="E594" s="46">
        <f>if(ISNA(vlookup($A594, ESPN!$B$2:$E$281, 4, false)), 0, vlookup($A594, ESPN!$B$2:$E$281, 4, false))</f>
        <v>0</v>
      </c>
      <c r="F594" s="46">
        <f>if(ISNA(vlookup($A594, Scout.com!$B$2:$E$239, 4, false)), 0, vlookup($A594, Scout.com!$B$2:$E$239, 4, false))</f>
        <v>0</v>
      </c>
      <c r="G594" s="46">
        <f>if(ISNA(vlookup($A594, FantasyPro!$B$2:$E$318, 4, false)), 0, vlookup($A594, FantasyPro!$B$2:$E$318, 4, false))</f>
        <v>0</v>
      </c>
      <c r="H594" s="46">
        <f>if(ISNA(vlookup($A594, RotoWire!$B$2:$E$681, 4, false)), 0, vlookup($A594, RotoWire!$B$2:$E$681, 4, false))</f>
        <v>0</v>
      </c>
      <c r="I594" s="53">
        <f t="shared" si="1"/>
        <v>0</v>
      </c>
      <c r="J594" s="53">
        <f t="shared" si="2"/>
        <v>0</v>
      </c>
    </row>
    <row r="595">
      <c r="A595" s="51" t="s">
        <v>509</v>
      </c>
      <c r="B595" s="52" t="s">
        <v>47</v>
      </c>
      <c r="C595" s="52" t="s">
        <v>17</v>
      </c>
      <c r="D595" s="52">
        <v>7.0</v>
      </c>
      <c r="E595" s="46">
        <f>if(ISNA(vlookup($A595, ESPN!$B$2:$E$281, 4, false)), 0, vlookup($A595, ESPN!$B$2:$E$281, 4, false))</f>
        <v>0</v>
      </c>
      <c r="F595" s="46">
        <f>if(ISNA(vlookup($A595, Scout.com!$B$2:$E$239, 4, false)), 0, vlookup($A595, Scout.com!$B$2:$E$239, 4, false))</f>
        <v>0</v>
      </c>
      <c r="G595" s="46">
        <f>if(ISNA(vlookup($A595, FantasyPro!$B$2:$E$318, 4, false)), 0, vlookup($A595, FantasyPro!$B$2:$E$318, 4, false))</f>
        <v>0</v>
      </c>
      <c r="H595" s="46">
        <f>if(ISNA(vlookup($A595, RotoWire!$B$2:$E$681, 4, false)), 0, vlookup($A595, RotoWire!$B$2:$E$681, 4, false))</f>
        <v>0</v>
      </c>
      <c r="I595" s="53">
        <f t="shared" si="1"/>
        <v>0</v>
      </c>
      <c r="J595" s="53">
        <f t="shared" si="2"/>
        <v>0</v>
      </c>
    </row>
    <row r="596">
      <c r="A596" s="51" t="s">
        <v>665</v>
      </c>
      <c r="B596" s="52" t="s">
        <v>32</v>
      </c>
      <c r="C596" s="52" t="s">
        <v>97</v>
      </c>
      <c r="D596" s="52">
        <v>10.0</v>
      </c>
      <c r="E596" s="46">
        <f>if(ISNA(vlookup($A596, ESPN!$B$2:$E$281, 4, false)), 0, vlookup($A596, ESPN!$B$2:$E$281, 4, false))</f>
        <v>0</v>
      </c>
      <c r="F596" s="46">
        <f>if(ISNA(vlookup($A596, Scout.com!$B$2:$E$239, 4, false)), 0, vlookup($A596, Scout.com!$B$2:$E$239, 4, false))</f>
        <v>0</v>
      </c>
      <c r="G596" s="46">
        <f>if(ISNA(vlookup($A596, FantasyPro!$B$2:$E$318, 4, false)), 0, vlookup($A596, FantasyPro!$B$2:$E$318, 4, false))</f>
        <v>0</v>
      </c>
      <c r="H596" s="46">
        <f>if(ISNA(vlookup($A596, RotoWire!$B$2:$E$681, 4, false)), 0, vlookup($A596, RotoWire!$B$2:$E$681, 4, false))</f>
        <v>0</v>
      </c>
      <c r="I596" s="53">
        <f t="shared" si="1"/>
        <v>0</v>
      </c>
      <c r="J596" s="53">
        <f t="shared" si="2"/>
        <v>0</v>
      </c>
    </row>
    <row r="597">
      <c r="A597" s="51" t="s">
        <v>517</v>
      </c>
      <c r="B597" s="52" t="s">
        <v>21</v>
      </c>
      <c r="C597" s="52" t="s">
        <v>7</v>
      </c>
      <c r="D597" s="52">
        <v>6.0</v>
      </c>
      <c r="E597" s="46">
        <f>if(ISNA(vlookup($A597, ESPN!$B$2:$E$281, 4, false)), 0, vlookup($A597, ESPN!$B$2:$E$281, 4, false))</f>
        <v>0</v>
      </c>
      <c r="F597" s="46">
        <f>if(ISNA(vlookup($A597, Scout.com!$B$2:$E$239, 4, false)), 0, vlookup($A597, Scout.com!$B$2:$E$239, 4, false))</f>
        <v>0</v>
      </c>
      <c r="G597" s="46">
        <f>if(ISNA(vlookup($A597, FantasyPro!$B$2:$E$318, 4, false)), 0, vlookup($A597, FantasyPro!$B$2:$E$318, 4, false))</f>
        <v>0</v>
      </c>
      <c r="H597" s="46">
        <f>if(ISNA(vlookup($A597, RotoWire!$B$2:$E$681, 4, false)), 0, vlookup($A597, RotoWire!$B$2:$E$681, 4, false))</f>
        <v>0</v>
      </c>
      <c r="I597" s="53">
        <f t="shared" si="1"/>
        <v>0</v>
      </c>
      <c r="J597" s="53">
        <f t="shared" si="2"/>
        <v>0</v>
      </c>
    </row>
    <row r="598">
      <c r="A598" s="51" t="s">
        <v>592</v>
      </c>
      <c r="B598" s="52" t="s">
        <v>123</v>
      </c>
      <c r="C598" s="52" t="s">
        <v>17</v>
      </c>
      <c r="D598" s="52">
        <v>4.0</v>
      </c>
      <c r="E598" s="46">
        <f>if(ISNA(vlookup($A598, ESPN!$B$2:$E$281, 4, false)), 0, vlookup($A598, ESPN!$B$2:$E$281, 4, false))</f>
        <v>0</v>
      </c>
      <c r="F598" s="46">
        <f>if(ISNA(vlookup($A598, Scout.com!$B$2:$E$239, 4, false)), 0, vlookup($A598, Scout.com!$B$2:$E$239, 4, false))</f>
        <v>0</v>
      </c>
      <c r="G598" s="46">
        <f>if(ISNA(vlookup($A598, FantasyPro!$B$2:$E$318, 4, false)), 0, vlookup($A598, FantasyPro!$B$2:$E$318, 4, false))</f>
        <v>0</v>
      </c>
      <c r="H598" s="46">
        <f>if(ISNA(vlookup($A598, RotoWire!$B$2:$E$681, 4, false)), 0, vlookup($A598, RotoWire!$B$2:$E$681, 4, false))</f>
        <v>0</v>
      </c>
      <c r="I598" s="53">
        <f t="shared" si="1"/>
        <v>0</v>
      </c>
      <c r="J598" s="53">
        <f t="shared" si="2"/>
        <v>0</v>
      </c>
    </row>
    <row r="599">
      <c r="A599" s="51" t="s">
        <v>559</v>
      </c>
      <c r="B599" s="52" t="s">
        <v>63</v>
      </c>
      <c r="C599" s="52" t="s">
        <v>43</v>
      </c>
      <c r="D599" s="52">
        <v>10.0</v>
      </c>
      <c r="E599" s="46">
        <f>if(ISNA(vlookup($A599, ESPN!$B$2:$E$281, 4, false)), 0, vlookup($A599, ESPN!$B$2:$E$281, 4, false))</f>
        <v>0</v>
      </c>
      <c r="F599" s="46">
        <f>if(ISNA(vlookup($A599, Scout.com!$B$2:$E$239, 4, false)), 0, vlookup($A599, Scout.com!$B$2:$E$239, 4, false))</f>
        <v>0</v>
      </c>
      <c r="G599" s="46">
        <f>if(ISNA(vlookup($A599, FantasyPro!$B$2:$E$318, 4, false)), 0, vlookup($A599, FantasyPro!$B$2:$E$318, 4, false))</f>
        <v>0</v>
      </c>
      <c r="H599" s="46">
        <f>if(ISNA(vlookup($A599, RotoWire!$B$2:$E$681, 4, false)), 0, vlookup($A599, RotoWire!$B$2:$E$681, 4, false))</f>
        <v>0</v>
      </c>
      <c r="I599" s="53">
        <f t="shared" si="1"/>
        <v>0</v>
      </c>
      <c r="J599" s="53">
        <f t="shared" si="2"/>
        <v>0</v>
      </c>
    </row>
    <row r="600">
      <c r="A600" s="51" t="s">
        <v>621</v>
      </c>
      <c r="B600" s="52" t="s">
        <v>172</v>
      </c>
      <c r="C600" s="52" t="s">
        <v>43</v>
      </c>
      <c r="D600" s="54"/>
      <c r="E600" s="46">
        <f>if(ISNA(vlookup($A600, ESPN!$B$2:$E$281, 4, false)), 0, vlookup($A600, ESPN!$B$2:$E$281, 4, false))</f>
        <v>0</v>
      </c>
      <c r="F600" s="46">
        <f>if(ISNA(vlookup($A600, Scout.com!$B$2:$E$239, 4, false)), 0, vlookup($A600, Scout.com!$B$2:$E$239, 4, false))</f>
        <v>0</v>
      </c>
      <c r="G600" s="46">
        <f>if(ISNA(vlookup($A600, FantasyPro!$B$2:$E$318, 4, false)), 0, vlookup($A600, FantasyPro!$B$2:$E$318, 4, false))</f>
        <v>0</v>
      </c>
      <c r="H600" s="46">
        <f>if(ISNA(vlookup($A600, RotoWire!$B$2:$E$681, 4, false)), 0, vlookup($A600, RotoWire!$B$2:$E$681, 4, false))</f>
        <v>0</v>
      </c>
      <c r="I600" s="53">
        <f t="shared" si="1"/>
        <v>0</v>
      </c>
      <c r="J600" s="53">
        <f t="shared" si="2"/>
        <v>0</v>
      </c>
    </row>
    <row r="601">
      <c r="A601" s="51" t="s">
        <v>258</v>
      </c>
      <c r="B601" s="52" t="s">
        <v>39</v>
      </c>
      <c r="C601" s="52" t="s">
        <v>17</v>
      </c>
      <c r="D601" s="52">
        <v>9.0</v>
      </c>
      <c r="E601" s="46">
        <f>if(ISNA(vlookup($A601, ESPN!$B$2:$E$281, 4, false)), 0, vlookup($A601, ESPN!$B$2:$E$281, 4, false))</f>
        <v>0</v>
      </c>
      <c r="F601" s="46">
        <f>if(ISNA(vlookup($A601, Scout.com!$B$2:$E$239, 4, false)), 0, vlookup($A601, Scout.com!$B$2:$E$239, 4, false))</f>
        <v>0</v>
      </c>
      <c r="G601" s="46">
        <f>if(ISNA(vlookup($A601, FantasyPro!$B$2:$E$318, 4, false)), 0, vlookup($A601, FantasyPro!$B$2:$E$318, 4, false))</f>
        <v>0</v>
      </c>
      <c r="H601" s="46">
        <f>if(ISNA(vlookup($A601, RotoWire!$B$2:$E$681, 4, false)), 0, vlookup($A601, RotoWire!$B$2:$E$681, 4, false))</f>
        <v>0</v>
      </c>
      <c r="I601" s="53">
        <f t="shared" si="1"/>
        <v>0</v>
      </c>
      <c r="J601" s="53">
        <f t="shared" si="2"/>
        <v>0</v>
      </c>
    </row>
    <row r="602">
      <c r="A602" s="51" t="s">
        <v>622</v>
      </c>
      <c r="B602" s="52" t="s">
        <v>32</v>
      </c>
      <c r="C602" s="52" t="s">
        <v>43</v>
      </c>
      <c r="D602" s="52">
        <v>10.0</v>
      </c>
      <c r="E602" s="46">
        <f>if(ISNA(vlookup($A602, ESPN!$B$2:$E$281, 4, false)), 0, vlookup($A602, ESPN!$B$2:$E$281, 4, false))</f>
        <v>0</v>
      </c>
      <c r="F602" s="46">
        <f>if(ISNA(vlookup($A602, Scout.com!$B$2:$E$239, 4, false)), 0, vlookup($A602, Scout.com!$B$2:$E$239, 4, false))</f>
        <v>0</v>
      </c>
      <c r="G602" s="46">
        <f>if(ISNA(vlookup($A602, FantasyPro!$B$2:$E$318, 4, false)), 0, vlookup($A602, FantasyPro!$B$2:$E$318, 4, false))</f>
        <v>0</v>
      </c>
      <c r="H602" s="46">
        <f>if(ISNA(vlookup($A602, RotoWire!$B$2:$E$681, 4, false)), 0, vlookup($A602, RotoWire!$B$2:$E$681, 4, false))</f>
        <v>0</v>
      </c>
      <c r="I602" s="53">
        <f t="shared" si="1"/>
        <v>0</v>
      </c>
      <c r="J602" s="53">
        <f t="shared" si="2"/>
        <v>0</v>
      </c>
    </row>
    <row r="603">
      <c r="A603" s="51" t="s">
        <v>447</v>
      </c>
      <c r="B603" s="52" t="s">
        <v>9</v>
      </c>
      <c r="C603" s="52" t="s">
        <v>43</v>
      </c>
      <c r="D603" s="52">
        <v>12.0</v>
      </c>
      <c r="E603" s="46">
        <f>if(ISNA(vlookup($A603, ESPN!$B$2:$E$281, 4, false)), 0, vlookup($A603, ESPN!$B$2:$E$281, 4, false))</f>
        <v>0</v>
      </c>
      <c r="F603" s="46">
        <f>if(ISNA(vlookup($A603, Scout.com!$B$2:$E$239, 4, false)), 0, vlookup($A603, Scout.com!$B$2:$E$239, 4, false))</f>
        <v>0</v>
      </c>
      <c r="G603" s="46">
        <f>if(ISNA(vlookup($A603, FantasyPro!$B$2:$E$318, 4, false)), 0, vlookup($A603, FantasyPro!$B$2:$E$318, 4, false))</f>
        <v>0</v>
      </c>
      <c r="H603" s="46">
        <f>if(ISNA(vlookup($A603, RotoWire!$B$2:$E$681, 4, false)), 0, vlookup($A603, RotoWire!$B$2:$E$681, 4, false))</f>
        <v>0</v>
      </c>
      <c r="I603" s="53">
        <f t="shared" si="1"/>
        <v>0</v>
      </c>
      <c r="J603" s="53">
        <f t="shared" si="2"/>
        <v>0</v>
      </c>
    </row>
    <row r="604">
      <c r="A604" s="51" t="s">
        <v>312</v>
      </c>
      <c r="B604" s="52" t="s">
        <v>39</v>
      </c>
      <c r="C604" s="52" t="s">
        <v>43</v>
      </c>
      <c r="D604" s="52">
        <v>9.0</v>
      </c>
      <c r="E604" s="46">
        <f>if(ISNA(vlookup($A604, ESPN!$B$2:$E$281, 4, false)), 0, vlookup($A604, ESPN!$B$2:$E$281, 4, false))</f>
        <v>0</v>
      </c>
      <c r="F604" s="46">
        <f>if(ISNA(vlookup($A604, Scout.com!$B$2:$E$239, 4, false)), 0, vlookup($A604, Scout.com!$B$2:$E$239, 4, false))</f>
        <v>0</v>
      </c>
      <c r="G604" s="46">
        <f>if(ISNA(vlookup($A604, FantasyPro!$B$2:$E$318, 4, false)), 0, vlookup($A604, FantasyPro!$B$2:$E$318, 4, false))</f>
        <v>0</v>
      </c>
      <c r="H604" s="46">
        <f>if(ISNA(vlookup($A604, RotoWire!$B$2:$E$681, 4, false)), 0, vlookup($A604, RotoWire!$B$2:$E$681, 4, false))</f>
        <v>0</v>
      </c>
      <c r="I604" s="53">
        <f t="shared" si="1"/>
        <v>0</v>
      </c>
      <c r="J604" s="53">
        <f t="shared" si="2"/>
        <v>0</v>
      </c>
    </row>
    <row r="605">
      <c r="A605" s="51" t="s">
        <v>255</v>
      </c>
      <c r="B605" s="52" t="s">
        <v>67</v>
      </c>
      <c r="C605" s="52" t="s">
        <v>97</v>
      </c>
      <c r="D605" s="52">
        <v>11.0</v>
      </c>
      <c r="E605" s="46">
        <f>if(ISNA(vlookup($A605, ESPN!$B$2:$E$281, 4, false)), 0, vlookup($A605, ESPN!$B$2:$E$281, 4, false))</f>
        <v>0</v>
      </c>
      <c r="F605" s="46">
        <f>if(ISNA(vlookup($A605, Scout.com!$B$2:$E$239, 4, false)), 0, vlookup($A605, Scout.com!$B$2:$E$239, 4, false))</f>
        <v>0</v>
      </c>
      <c r="G605" s="46">
        <f>if(ISNA(vlookup($A605, FantasyPro!$B$2:$E$318, 4, false)), 0, vlookup($A605, FantasyPro!$B$2:$E$318, 4, false))</f>
        <v>0</v>
      </c>
      <c r="H605" s="46">
        <f>if(ISNA(vlookup($A605, RotoWire!$B$2:$E$681, 4, false)), 0, vlookup($A605, RotoWire!$B$2:$E$681, 4, false))</f>
        <v>0</v>
      </c>
      <c r="I605" s="53">
        <f t="shared" si="1"/>
        <v>0</v>
      </c>
      <c r="J605" s="53">
        <f t="shared" si="2"/>
        <v>0</v>
      </c>
    </row>
    <row r="606">
      <c r="A606" s="51" t="s">
        <v>241</v>
      </c>
      <c r="B606" s="52" t="s">
        <v>6</v>
      </c>
      <c r="C606" s="52" t="s">
        <v>43</v>
      </c>
      <c r="D606" s="52">
        <v>7.0</v>
      </c>
      <c r="E606" s="46">
        <f>if(ISNA(vlookup($A606, ESPN!$B$2:$E$281, 4, false)), 0, vlookup($A606, ESPN!$B$2:$E$281, 4, false))</f>
        <v>0</v>
      </c>
      <c r="F606" s="46">
        <f>if(ISNA(vlookup($A606, Scout.com!$B$2:$E$239, 4, false)), 0, vlookup($A606, Scout.com!$B$2:$E$239, 4, false))</f>
        <v>0</v>
      </c>
      <c r="G606" s="46">
        <f>if(ISNA(vlookup($A606, FantasyPro!$B$2:$E$318, 4, false)), 0, vlookup($A606, FantasyPro!$B$2:$E$318, 4, false))</f>
        <v>0</v>
      </c>
      <c r="H606" s="46">
        <f>if(ISNA(vlookup($A606, RotoWire!$B$2:$E$681, 4, false)), 0, vlookup($A606, RotoWire!$B$2:$E$681, 4, false))</f>
        <v>0</v>
      </c>
      <c r="I606" s="53">
        <f t="shared" si="1"/>
        <v>0</v>
      </c>
      <c r="J606" s="53">
        <f t="shared" si="2"/>
        <v>0</v>
      </c>
    </row>
    <row r="607">
      <c r="A607" s="51" t="s">
        <v>311</v>
      </c>
      <c r="B607" s="52" t="s">
        <v>123</v>
      </c>
      <c r="C607" s="52" t="s">
        <v>43</v>
      </c>
      <c r="D607" s="52">
        <v>4.0</v>
      </c>
      <c r="E607" s="46">
        <f>if(ISNA(vlookup($A607, ESPN!$B$2:$E$281, 4, false)), 0, vlookup($A607, ESPN!$B$2:$E$281, 4, false))</f>
        <v>0</v>
      </c>
      <c r="F607" s="46">
        <f>if(ISNA(vlookup($A607, Scout.com!$B$2:$E$239, 4, false)), 0, vlookup($A607, Scout.com!$B$2:$E$239, 4, false))</f>
        <v>0</v>
      </c>
      <c r="G607" s="46">
        <f>if(ISNA(vlookup($A607, FantasyPro!$B$2:$E$318, 4, false)), 0, vlookup($A607, FantasyPro!$B$2:$E$318, 4, false))</f>
        <v>0</v>
      </c>
      <c r="H607" s="46">
        <f>if(ISNA(vlookup($A607, RotoWire!$B$2:$E$681, 4, false)), 0, vlookup($A607, RotoWire!$B$2:$E$681, 4, false))</f>
        <v>0</v>
      </c>
      <c r="I607" s="53">
        <f t="shared" si="1"/>
        <v>0</v>
      </c>
      <c r="J607" s="53">
        <f t="shared" si="2"/>
        <v>0</v>
      </c>
    </row>
    <row r="608">
      <c r="A608" s="51" t="s">
        <v>310</v>
      </c>
      <c r="B608" s="52" t="s">
        <v>34</v>
      </c>
      <c r="C608" s="52" t="s">
        <v>43</v>
      </c>
      <c r="D608" s="52">
        <v>8.0</v>
      </c>
      <c r="E608" s="46">
        <f>if(ISNA(vlookup($A608, ESPN!$B$2:$E$281, 4, false)), 0, vlookup($A608, ESPN!$B$2:$E$281, 4, false))</f>
        <v>0</v>
      </c>
      <c r="F608" s="46">
        <f>if(ISNA(vlookup($A608, Scout.com!$B$2:$E$239, 4, false)), 0, vlookup($A608, Scout.com!$B$2:$E$239, 4, false))</f>
        <v>0</v>
      </c>
      <c r="G608" s="46">
        <f>if(ISNA(vlookup($A608, FantasyPro!$B$2:$E$318, 4, false)), 0, vlookup($A608, FantasyPro!$B$2:$E$318, 4, false))</f>
        <v>0</v>
      </c>
      <c r="H608" s="46">
        <f>if(ISNA(vlookup($A608, RotoWire!$B$2:$E$681, 4, false)), 0, vlookup($A608, RotoWire!$B$2:$E$681, 4, false))</f>
        <v>0</v>
      </c>
      <c r="I608" s="53">
        <f t="shared" si="1"/>
        <v>0</v>
      </c>
      <c r="J608" s="53">
        <f t="shared" si="2"/>
        <v>0</v>
      </c>
    </row>
    <row r="609">
      <c r="A609" s="51" t="s">
        <v>264</v>
      </c>
      <c r="B609" s="52" t="s">
        <v>123</v>
      </c>
      <c r="C609" s="52" t="s">
        <v>199</v>
      </c>
      <c r="D609" s="52">
        <v>4.0</v>
      </c>
      <c r="E609" s="46">
        <f>if(ISNA(vlookup($A609, ESPN!$B$2:$E$281, 4, false)), 0, vlookup($A609, ESPN!$B$2:$E$281, 4, false))</f>
        <v>0</v>
      </c>
      <c r="F609" s="46">
        <f>if(ISNA(vlookup($A609, Scout.com!$B$2:$E$239, 4, false)), 0, vlookup($A609, Scout.com!$B$2:$E$239, 4, false))</f>
        <v>0</v>
      </c>
      <c r="G609" s="46">
        <f>if(ISNA(vlookup($A609, FantasyPro!$B$2:$E$318, 4, false)), 0, vlookup($A609, FantasyPro!$B$2:$E$318, 4, false))</f>
        <v>0</v>
      </c>
      <c r="H609" s="46">
        <f>if(ISNA(vlookup($A609, RotoWire!$B$2:$E$681, 4, false)), 0, vlookup($A609, RotoWire!$B$2:$E$681, 4, false))</f>
        <v>0</v>
      </c>
      <c r="I609" s="53">
        <f t="shared" si="1"/>
        <v>0</v>
      </c>
      <c r="J609" s="53">
        <f t="shared" si="2"/>
        <v>0</v>
      </c>
    </row>
    <row r="610">
      <c r="A610" s="51" t="s">
        <v>293</v>
      </c>
      <c r="B610" s="52" t="s">
        <v>19</v>
      </c>
      <c r="C610" s="52" t="s">
        <v>7</v>
      </c>
      <c r="D610" s="52">
        <v>9.0</v>
      </c>
      <c r="E610" s="46">
        <f>if(ISNA(vlookup($A610, ESPN!$B$2:$E$281, 4, false)), 0, vlookup($A610, ESPN!$B$2:$E$281, 4, false))</f>
        <v>0</v>
      </c>
      <c r="F610" s="46">
        <f>if(ISNA(vlookup($A610, Scout.com!$B$2:$E$239, 4, false)), 0, vlookup($A610, Scout.com!$B$2:$E$239, 4, false))</f>
        <v>0</v>
      </c>
      <c r="G610" s="46">
        <f>if(ISNA(vlookup($A610, FantasyPro!$B$2:$E$318, 4, false)), 0, vlookup($A610, FantasyPro!$B$2:$E$318, 4, false))</f>
        <v>0</v>
      </c>
      <c r="H610" s="46">
        <f>if(ISNA(vlookup($A610, RotoWire!$B$2:$E$681, 4, false)), 0, vlookup($A610, RotoWire!$B$2:$E$681, 4, false))</f>
        <v>0</v>
      </c>
      <c r="I610" s="53">
        <f t="shared" si="1"/>
        <v>0</v>
      </c>
      <c r="J610" s="53">
        <f t="shared" si="2"/>
        <v>0</v>
      </c>
    </row>
    <row r="611">
      <c r="A611" s="51" t="s">
        <v>465</v>
      </c>
      <c r="B611" s="52" t="s">
        <v>60</v>
      </c>
      <c r="C611" s="52" t="s">
        <v>7</v>
      </c>
      <c r="D611" s="52">
        <v>9.0</v>
      </c>
      <c r="E611" s="46">
        <f>if(ISNA(vlookup($A611, ESPN!$B$2:$E$281, 4, false)), 0, vlookup($A611, ESPN!$B$2:$E$281, 4, false))</f>
        <v>0</v>
      </c>
      <c r="F611" s="46">
        <f>if(ISNA(vlookup($A611, Scout.com!$B$2:$E$239, 4, false)), 0, vlookup($A611, Scout.com!$B$2:$E$239, 4, false))</f>
        <v>0</v>
      </c>
      <c r="G611" s="46">
        <f>if(ISNA(vlookup($A611, FantasyPro!$B$2:$E$318, 4, false)), 0, vlookup($A611, FantasyPro!$B$2:$E$318, 4, false))</f>
        <v>0</v>
      </c>
      <c r="H611" s="46">
        <f>if(ISNA(vlookup($A611, RotoWire!$B$2:$E$681, 4, false)), 0, vlookup($A611, RotoWire!$B$2:$E$681, 4, false))</f>
        <v>0</v>
      </c>
      <c r="I611" s="53">
        <f t="shared" si="1"/>
        <v>0</v>
      </c>
      <c r="J611" s="53">
        <f t="shared" si="2"/>
        <v>0</v>
      </c>
    </row>
    <row r="612">
      <c r="A612" s="51" t="s">
        <v>619</v>
      </c>
      <c r="B612" s="52" t="s">
        <v>65</v>
      </c>
      <c r="C612" s="52" t="s">
        <v>43</v>
      </c>
      <c r="D612" s="52">
        <v>7.0</v>
      </c>
      <c r="E612" s="46">
        <f>if(ISNA(vlookup($A612, ESPN!$B$2:$E$281, 4, false)), 0, vlookup($A612, ESPN!$B$2:$E$281, 4, false))</f>
        <v>0</v>
      </c>
      <c r="F612" s="46">
        <f>if(ISNA(vlookup($A612, Scout.com!$B$2:$E$239, 4, false)), 0, vlookup($A612, Scout.com!$B$2:$E$239, 4, false))</f>
        <v>0</v>
      </c>
      <c r="G612" s="46">
        <f>if(ISNA(vlookup($A612, FantasyPro!$B$2:$E$318, 4, false)), 0, vlookup($A612, FantasyPro!$B$2:$E$318, 4, false))</f>
        <v>0</v>
      </c>
      <c r="H612" s="46">
        <f>if(ISNA(vlookup($A612, RotoWire!$B$2:$E$681, 4, false)), 0, vlookup($A612, RotoWire!$B$2:$E$681, 4, false))</f>
        <v>0</v>
      </c>
      <c r="I612" s="53">
        <f t="shared" si="1"/>
        <v>0</v>
      </c>
      <c r="J612" s="53">
        <f t="shared" si="2"/>
        <v>0</v>
      </c>
    </row>
    <row r="613">
      <c r="A613" s="51" t="s">
        <v>269</v>
      </c>
      <c r="B613" s="52" t="s">
        <v>88</v>
      </c>
      <c r="C613" s="52" t="s">
        <v>17</v>
      </c>
      <c r="D613" s="52">
        <v>10.0</v>
      </c>
      <c r="E613" s="46">
        <f>if(ISNA(vlookup($A613, ESPN!$B$2:$E$281, 4, false)), 0, vlookup($A613, ESPN!$B$2:$E$281, 4, false))</f>
        <v>0</v>
      </c>
      <c r="F613" s="46">
        <f>if(ISNA(vlookup($A613, Scout.com!$B$2:$E$239, 4, false)), 0, vlookup($A613, Scout.com!$B$2:$E$239, 4, false))</f>
        <v>0</v>
      </c>
      <c r="G613" s="46">
        <f>if(ISNA(vlookup($A613, FantasyPro!$B$2:$E$318, 4, false)), 0, vlookup($A613, FantasyPro!$B$2:$E$318, 4, false))</f>
        <v>0</v>
      </c>
      <c r="H613" s="46">
        <f>if(ISNA(vlookup($A613, RotoWire!$B$2:$E$681, 4, false)), 0, vlookup($A613, RotoWire!$B$2:$E$681, 4, false))</f>
        <v>0</v>
      </c>
      <c r="I613" s="53">
        <f t="shared" si="1"/>
        <v>0</v>
      </c>
      <c r="J613" s="53">
        <f t="shared" si="2"/>
        <v>0</v>
      </c>
    </row>
    <row r="614">
      <c r="A614" s="51" t="s">
        <v>625</v>
      </c>
      <c r="B614" s="52" t="s">
        <v>6</v>
      </c>
      <c r="C614" s="52" t="s">
        <v>43</v>
      </c>
      <c r="D614" s="52">
        <v>7.0</v>
      </c>
      <c r="E614" s="46">
        <f>if(ISNA(vlookup($A614, ESPN!$B$2:$E$281, 4, false)), 0, vlookup($A614, ESPN!$B$2:$E$281, 4, false))</f>
        <v>0</v>
      </c>
      <c r="F614" s="46">
        <f>if(ISNA(vlookup($A614, Scout.com!$B$2:$E$239, 4, false)), 0, vlookup($A614, Scout.com!$B$2:$E$239, 4, false))</f>
        <v>0</v>
      </c>
      <c r="G614" s="46">
        <f>if(ISNA(vlookup($A614, FantasyPro!$B$2:$E$318, 4, false)), 0, vlookup($A614, FantasyPro!$B$2:$E$318, 4, false))</f>
        <v>0</v>
      </c>
      <c r="H614" s="46">
        <f>if(ISNA(vlookup($A614, RotoWire!$B$2:$E$681, 4, false)), 0, vlookup($A614, RotoWire!$B$2:$E$681, 4, false))</f>
        <v>0</v>
      </c>
      <c r="I614" s="53">
        <f t="shared" si="1"/>
        <v>0</v>
      </c>
      <c r="J614" s="53">
        <f t="shared" si="2"/>
        <v>0</v>
      </c>
    </row>
    <row r="615">
      <c r="A615" s="51" t="s">
        <v>552</v>
      </c>
      <c r="B615" s="52" t="s">
        <v>77</v>
      </c>
      <c r="C615" s="52" t="s">
        <v>7</v>
      </c>
      <c r="D615" s="52">
        <v>6.0</v>
      </c>
      <c r="E615" s="46">
        <f>if(ISNA(vlookup($A615, ESPN!$B$2:$E$281, 4, false)), 0, vlookup($A615, ESPN!$B$2:$E$281, 4, false))</f>
        <v>0</v>
      </c>
      <c r="F615" s="46">
        <f>if(ISNA(vlookup($A615, Scout.com!$B$2:$E$239, 4, false)), 0, vlookup($A615, Scout.com!$B$2:$E$239, 4, false))</f>
        <v>0</v>
      </c>
      <c r="G615" s="46">
        <f>if(ISNA(vlookup($A615, FantasyPro!$B$2:$E$318, 4, false)), 0, vlookup($A615, FantasyPro!$B$2:$E$318, 4, false))</f>
        <v>0</v>
      </c>
      <c r="H615" s="46">
        <f>if(ISNA(vlookup($A615, RotoWire!$B$2:$E$681, 4, false)), 0, vlookup($A615, RotoWire!$B$2:$E$681, 4, false))</f>
        <v>0</v>
      </c>
      <c r="I615" s="53">
        <f t="shared" si="1"/>
        <v>0</v>
      </c>
      <c r="J615" s="53">
        <f t="shared" si="2"/>
        <v>0</v>
      </c>
    </row>
    <row r="616">
      <c r="A616" s="51" t="s">
        <v>402</v>
      </c>
      <c r="B616" s="52" t="s">
        <v>67</v>
      </c>
      <c r="C616" s="52" t="s">
        <v>219</v>
      </c>
      <c r="D616" s="52">
        <v>11.0</v>
      </c>
      <c r="E616" s="46">
        <f>if(ISNA(vlookup($A616, ESPN!$B$2:$E$281, 4, false)), 0, vlookup($A616, ESPN!$B$2:$E$281, 4, false))</f>
        <v>0</v>
      </c>
      <c r="F616" s="46">
        <f>if(ISNA(vlookup($A616, Scout.com!$B$2:$E$239, 4, false)), 0, vlookup($A616, Scout.com!$B$2:$E$239, 4, false))</f>
        <v>0</v>
      </c>
      <c r="G616" s="46">
        <f>if(ISNA(vlookup($A616, FantasyPro!$B$2:$E$318, 4, false)), 0, vlookup($A616, FantasyPro!$B$2:$E$318, 4, false))</f>
        <v>0</v>
      </c>
      <c r="H616" s="46">
        <f>if(ISNA(vlookup($A616, RotoWire!$B$2:$E$681, 4, false)), 0, vlookup($A616, RotoWire!$B$2:$E$681, 4, false))</f>
        <v>0</v>
      </c>
      <c r="I616" s="53">
        <f t="shared" si="1"/>
        <v>0</v>
      </c>
      <c r="J616" s="53">
        <f t="shared" si="2"/>
        <v>0</v>
      </c>
    </row>
    <row r="617">
      <c r="A617" s="51" t="s">
        <v>271</v>
      </c>
      <c r="B617" s="52" t="s">
        <v>70</v>
      </c>
      <c r="C617" s="52" t="s">
        <v>17</v>
      </c>
      <c r="D617" s="52">
        <v>11.0</v>
      </c>
      <c r="E617" s="46">
        <f>if(ISNA(vlookup($A617, ESPN!$B$2:$E$281, 4, false)), 0, vlookup($A617, ESPN!$B$2:$E$281, 4, false))</f>
        <v>0</v>
      </c>
      <c r="F617" s="46">
        <f>if(ISNA(vlookup($A617, Scout.com!$B$2:$E$239, 4, false)), 0, vlookup($A617, Scout.com!$B$2:$E$239, 4, false))</f>
        <v>0</v>
      </c>
      <c r="G617" s="46">
        <f>if(ISNA(vlookup($A617, FantasyPro!$B$2:$E$318, 4, false)), 0, vlookup($A617, FantasyPro!$B$2:$E$318, 4, false))</f>
        <v>0</v>
      </c>
      <c r="H617" s="46">
        <f>if(ISNA(vlookup($A617, RotoWire!$B$2:$E$681, 4, false)), 0, vlookup($A617, RotoWire!$B$2:$E$681, 4, false))</f>
        <v>0</v>
      </c>
      <c r="I617" s="53">
        <f t="shared" si="1"/>
        <v>0</v>
      </c>
      <c r="J617" s="53">
        <f t="shared" si="2"/>
        <v>0</v>
      </c>
    </row>
  </sheetData>
  <autoFilter ref="$A$1:$J$617">
    <sortState ref="A1:J617">
      <sortCondition descending="1" ref="I1:I617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6.75"/>
    <col customWidth="1" min="3" max="3" width="8.25"/>
    <col customWidth="1" min="4" max="4" width="8.63"/>
    <col customWidth="1" min="11" max="11" width="14.38"/>
  </cols>
  <sheetData>
    <row r="1">
      <c r="A1" s="56" t="s">
        <v>1</v>
      </c>
      <c r="B1" s="56" t="s">
        <v>2</v>
      </c>
      <c r="C1" s="56" t="s">
        <v>3</v>
      </c>
      <c r="D1" s="56" t="s">
        <v>689</v>
      </c>
      <c r="E1" s="56" t="s">
        <v>697</v>
      </c>
      <c r="F1" s="56" t="s">
        <v>698</v>
      </c>
      <c r="G1" s="56" t="s">
        <v>4</v>
      </c>
      <c r="H1" s="56" t="s">
        <v>699</v>
      </c>
      <c r="L1" s="57">
        <f>100-L19</f>
        <v>100</v>
      </c>
    </row>
    <row r="2">
      <c r="A2" s="51"/>
      <c r="B2" s="52"/>
      <c r="C2" s="52"/>
      <c r="D2" s="52"/>
      <c r="E2" s="58"/>
      <c r="F2" s="53"/>
      <c r="G2" s="59"/>
      <c r="H2" s="59"/>
      <c r="J2" s="60" t="s">
        <v>3</v>
      </c>
      <c r="K2" s="61" t="s">
        <v>1</v>
      </c>
      <c r="L2" s="62" t="s">
        <v>700</v>
      </c>
    </row>
    <row r="3">
      <c r="A3" s="51"/>
      <c r="B3" s="52"/>
      <c r="C3" s="52"/>
      <c r="D3" s="52"/>
      <c r="E3" s="58"/>
      <c r="F3" s="53"/>
      <c r="G3" s="59"/>
      <c r="H3" s="59"/>
      <c r="J3" s="63" t="s">
        <v>701</v>
      </c>
      <c r="K3" s="64"/>
      <c r="L3" s="65"/>
    </row>
    <row r="4">
      <c r="A4" s="51"/>
      <c r="B4" s="52"/>
      <c r="C4" s="52"/>
      <c r="D4" s="52"/>
      <c r="E4" s="58"/>
      <c r="F4" s="53"/>
      <c r="G4" s="59"/>
      <c r="H4" s="59"/>
      <c r="J4" s="66" t="s">
        <v>702</v>
      </c>
      <c r="K4" s="67"/>
      <c r="L4" s="68"/>
    </row>
    <row r="5">
      <c r="A5" s="51"/>
      <c r="B5" s="52"/>
      <c r="C5" s="52"/>
      <c r="D5" s="52"/>
      <c r="E5" s="58"/>
      <c r="F5" s="53"/>
      <c r="G5" s="59"/>
      <c r="H5" s="59"/>
      <c r="J5" s="66" t="s">
        <v>703</v>
      </c>
      <c r="K5" s="67"/>
      <c r="L5" s="68"/>
    </row>
    <row r="6">
      <c r="A6" s="67"/>
      <c r="B6" s="69"/>
      <c r="C6" s="69"/>
      <c r="D6" s="69"/>
      <c r="E6" s="59"/>
      <c r="F6" s="53"/>
      <c r="G6" s="59"/>
      <c r="H6" s="59"/>
      <c r="J6" s="66" t="s">
        <v>704</v>
      </c>
      <c r="K6" s="67"/>
      <c r="L6" s="68"/>
    </row>
    <row r="7">
      <c r="A7" s="67"/>
      <c r="B7" s="69"/>
      <c r="C7" s="69"/>
      <c r="D7" s="69"/>
      <c r="E7" s="59"/>
      <c r="F7" s="53"/>
      <c r="G7" s="59"/>
      <c r="H7" s="59"/>
      <c r="J7" s="66" t="s">
        <v>43</v>
      </c>
      <c r="K7" s="67"/>
      <c r="L7" s="68"/>
    </row>
    <row r="8">
      <c r="A8" s="67"/>
      <c r="B8" s="69"/>
      <c r="C8" s="69"/>
      <c r="D8" s="69"/>
      <c r="E8" s="59"/>
      <c r="F8" s="53"/>
      <c r="G8" s="59"/>
      <c r="H8" s="59"/>
      <c r="J8" s="66" t="s">
        <v>705</v>
      </c>
      <c r="K8" s="67"/>
      <c r="L8" s="68"/>
    </row>
    <row r="9">
      <c r="A9" s="67"/>
      <c r="B9" s="69"/>
      <c r="C9" s="69"/>
      <c r="D9" s="69"/>
      <c r="E9" s="59"/>
      <c r="F9" s="53"/>
      <c r="G9" s="59"/>
      <c r="H9" s="59"/>
      <c r="J9" s="66" t="s">
        <v>199</v>
      </c>
      <c r="K9" s="67"/>
      <c r="L9" s="68"/>
    </row>
    <row r="10">
      <c r="A10" s="70"/>
      <c r="B10" s="71"/>
      <c r="C10" s="71"/>
      <c r="D10" s="71"/>
      <c r="E10" s="53"/>
      <c r="F10" s="53"/>
      <c r="G10" s="53"/>
      <c r="H10" s="53"/>
      <c r="J10" s="66" t="s">
        <v>219</v>
      </c>
      <c r="K10" s="67"/>
      <c r="L10" s="68"/>
    </row>
    <row r="11">
      <c r="A11" s="70"/>
      <c r="B11" s="71"/>
      <c r="C11" s="71"/>
      <c r="D11" s="71"/>
      <c r="E11" s="53"/>
      <c r="F11" s="53"/>
      <c r="G11" s="53"/>
      <c r="H11" s="53"/>
      <c r="J11" s="66" t="s">
        <v>706</v>
      </c>
      <c r="K11" s="67"/>
      <c r="L11" s="68"/>
    </row>
    <row r="12">
      <c r="A12" s="70"/>
      <c r="B12" s="71"/>
      <c r="C12" s="71"/>
      <c r="D12" s="71"/>
      <c r="E12" s="53"/>
      <c r="F12" s="53"/>
      <c r="G12" s="53"/>
      <c r="H12" s="53"/>
      <c r="J12" s="66" t="s">
        <v>707</v>
      </c>
      <c r="K12" s="67"/>
      <c r="L12" s="68"/>
    </row>
    <row r="13">
      <c r="A13" s="70"/>
      <c r="B13" s="71"/>
      <c r="C13" s="71"/>
      <c r="D13" s="71"/>
      <c r="E13" s="53"/>
      <c r="F13" s="53"/>
      <c r="G13" s="53"/>
      <c r="H13" s="53"/>
      <c r="J13" s="66" t="s">
        <v>708</v>
      </c>
      <c r="K13" s="67"/>
      <c r="L13" s="68"/>
    </row>
    <row r="14">
      <c r="A14" s="70"/>
      <c r="B14" s="71"/>
      <c r="C14" s="71"/>
      <c r="D14" s="71"/>
      <c r="E14" s="53"/>
      <c r="F14" s="53"/>
      <c r="G14" s="53"/>
      <c r="H14" s="53"/>
      <c r="J14" s="66" t="s">
        <v>709</v>
      </c>
      <c r="K14" s="67"/>
      <c r="L14" s="68"/>
    </row>
    <row r="15">
      <c r="A15" s="70"/>
      <c r="B15" s="71"/>
      <c r="C15" s="71"/>
      <c r="D15" s="71"/>
      <c r="E15" s="53"/>
      <c r="F15" s="53"/>
      <c r="G15" s="53"/>
      <c r="H15" s="53"/>
      <c r="J15" s="66" t="s">
        <v>710</v>
      </c>
      <c r="K15" s="67"/>
      <c r="L15" s="68"/>
    </row>
    <row r="16">
      <c r="A16" s="70"/>
      <c r="B16" s="71"/>
      <c r="C16" s="71"/>
      <c r="D16" s="71"/>
      <c r="E16" s="53"/>
      <c r="F16" s="53"/>
      <c r="G16" s="53"/>
      <c r="H16" s="53"/>
      <c r="J16" s="66" t="s">
        <v>711</v>
      </c>
      <c r="K16" s="67"/>
      <c r="L16" s="68"/>
    </row>
    <row r="17">
      <c r="A17" s="70"/>
      <c r="B17" s="71"/>
      <c r="C17" s="71"/>
      <c r="D17" s="71"/>
      <c r="E17" s="53"/>
      <c r="F17" s="53"/>
      <c r="G17" s="53"/>
      <c r="H17" s="53"/>
      <c r="J17" s="66" t="s">
        <v>712</v>
      </c>
      <c r="K17" s="67"/>
      <c r="L17" s="68"/>
    </row>
    <row r="18">
      <c r="A18" s="70"/>
      <c r="B18" s="71"/>
      <c r="C18" s="71"/>
      <c r="D18" s="71"/>
      <c r="E18" s="53"/>
      <c r="F18" s="53"/>
      <c r="G18" s="53"/>
      <c r="H18" s="53"/>
      <c r="J18" s="72" t="s">
        <v>713</v>
      </c>
      <c r="K18" s="73"/>
      <c r="L18" s="74"/>
    </row>
    <row r="19">
      <c r="A19" s="70"/>
      <c r="B19" s="71"/>
      <c r="C19" s="71"/>
      <c r="D19" s="71"/>
      <c r="E19" s="53"/>
      <c r="F19" s="53"/>
      <c r="G19" s="53"/>
      <c r="H19" s="53"/>
      <c r="L19" s="75">
        <f>sum(L3:L18)</f>
        <v>0</v>
      </c>
    </row>
    <row r="20">
      <c r="A20" s="70"/>
      <c r="B20" s="71"/>
      <c r="C20" s="71"/>
      <c r="D20" s="71"/>
      <c r="E20" s="53"/>
      <c r="F20" s="53"/>
      <c r="G20" s="53"/>
      <c r="H20" s="53"/>
    </row>
    <row r="21">
      <c r="A21" s="70"/>
      <c r="B21" s="71"/>
      <c r="C21" s="71"/>
      <c r="D21" s="71"/>
      <c r="E21" s="53"/>
      <c r="F21" s="53"/>
      <c r="G21" s="53"/>
      <c r="H21" s="53"/>
    </row>
    <row r="22">
      <c r="A22" s="70"/>
      <c r="B22" s="71"/>
      <c r="C22" s="71"/>
      <c r="D22" s="71"/>
      <c r="E22" s="53"/>
      <c r="F22" s="53"/>
      <c r="G22" s="53"/>
      <c r="H22" s="53"/>
    </row>
    <row r="23">
      <c r="A23" s="70"/>
      <c r="B23" s="71"/>
      <c r="C23" s="71"/>
      <c r="D23" s="71"/>
      <c r="E23" s="53"/>
      <c r="F23" s="53"/>
      <c r="G23" s="53"/>
      <c r="H23" s="53"/>
    </row>
    <row r="24">
      <c r="A24" s="70"/>
      <c r="B24" s="71"/>
      <c r="C24" s="71"/>
      <c r="D24" s="71"/>
      <c r="E24" s="53"/>
      <c r="F24" s="53"/>
      <c r="G24" s="53"/>
      <c r="H24" s="53"/>
    </row>
    <row r="25">
      <c r="A25" s="70"/>
      <c r="B25" s="71"/>
      <c r="C25" s="71"/>
      <c r="D25" s="71"/>
      <c r="E25" s="53"/>
      <c r="F25" s="53"/>
      <c r="G25" s="53"/>
      <c r="H25" s="53"/>
    </row>
    <row r="26">
      <c r="A26" s="70"/>
      <c r="B26" s="71"/>
      <c r="C26" s="71"/>
      <c r="D26" s="71"/>
      <c r="E26" s="53"/>
      <c r="F26" s="53"/>
      <c r="G26" s="53"/>
      <c r="H26" s="53"/>
    </row>
    <row r="27">
      <c r="A27" s="70"/>
      <c r="B27" s="71"/>
      <c r="C27" s="71"/>
      <c r="D27" s="71"/>
      <c r="E27" s="53"/>
      <c r="F27" s="53"/>
      <c r="G27" s="53"/>
      <c r="H27" s="53"/>
    </row>
    <row r="28">
      <c r="A28" s="70"/>
      <c r="B28" s="71"/>
      <c r="C28" s="71"/>
      <c r="D28" s="71"/>
      <c r="E28" s="53"/>
      <c r="F28" s="53"/>
      <c r="G28" s="53"/>
      <c r="H28" s="53"/>
    </row>
    <row r="29">
      <c r="A29" s="70"/>
      <c r="B29" s="71"/>
      <c r="C29" s="71"/>
      <c r="D29" s="71"/>
      <c r="E29" s="53"/>
      <c r="F29" s="53"/>
      <c r="G29" s="53"/>
      <c r="H29" s="53"/>
    </row>
    <row r="30">
      <c r="A30" s="70"/>
      <c r="B30" s="71"/>
      <c r="C30" s="71"/>
      <c r="D30" s="71"/>
      <c r="E30" s="53"/>
      <c r="F30" s="53"/>
      <c r="G30" s="53"/>
      <c r="H30" s="53"/>
    </row>
    <row r="31">
      <c r="A31" s="70"/>
      <c r="B31" s="71"/>
      <c r="C31" s="71"/>
      <c r="D31" s="71"/>
      <c r="E31" s="53"/>
      <c r="F31" s="53"/>
      <c r="G31" s="53"/>
      <c r="H31" s="53"/>
    </row>
    <row r="32">
      <c r="B32" s="76"/>
      <c r="C32" s="76"/>
      <c r="D32" s="76"/>
      <c r="E32" s="76"/>
      <c r="F32" s="76"/>
      <c r="G32" s="76"/>
      <c r="H32" s="76"/>
    </row>
    <row r="33">
      <c r="B33" s="76"/>
      <c r="C33" s="76"/>
      <c r="D33" s="76"/>
      <c r="E33" s="76"/>
      <c r="F33" s="76"/>
      <c r="G33" s="76"/>
      <c r="H33" s="76"/>
    </row>
    <row r="34">
      <c r="B34" s="76"/>
      <c r="C34" s="76"/>
      <c r="D34" s="76"/>
      <c r="E34" s="76"/>
      <c r="F34" s="76"/>
      <c r="G34" s="76"/>
      <c r="H34" s="76"/>
    </row>
    <row r="35">
      <c r="B35" s="76"/>
      <c r="C35" s="76"/>
      <c r="D35" s="76"/>
      <c r="E35" s="76"/>
      <c r="F35" s="76"/>
      <c r="G35" s="76"/>
      <c r="H35" s="76"/>
    </row>
    <row r="36">
      <c r="B36" s="76"/>
      <c r="C36" s="76"/>
      <c r="D36" s="76"/>
      <c r="E36" s="76"/>
      <c r="F36" s="76"/>
      <c r="G36" s="76"/>
      <c r="H36" s="76"/>
    </row>
    <row r="37">
      <c r="B37" s="76"/>
      <c r="C37" s="76"/>
      <c r="D37" s="76"/>
      <c r="E37" s="76"/>
      <c r="F37" s="76"/>
      <c r="G37" s="76"/>
      <c r="H37" s="76"/>
    </row>
    <row r="38">
      <c r="B38" s="76"/>
      <c r="C38" s="76"/>
      <c r="D38" s="76"/>
      <c r="E38" s="76"/>
      <c r="F38" s="76"/>
      <c r="G38" s="76"/>
      <c r="H38" s="76"/>
    </row>
    <row r="39">
      <c r="B39" s="76"/>
      <c r="C39" s="76"/>
      <c r="D39" s="76"/>
      <c r="E39" s="76"/>
      <c r="F39" s="76"/>
      <c r="G39" s="76"/>
      <c r="H39" s="76"/>
    </row>
    <row r="40">
      <c r="B40" s="76"/>
      <c r="C40" s="76"/>
      <c r="D40" s="76"/>
      <c r="E40" s="76"/>
      <c r="F40" s="76"/>
      <c r="G40" s="76"/>
      <c r="H40" s="76"/>
    </row>
    <row r="41">
      <c r="B41" s="76"/>
      <c r="C41" s="76"/>
      <c r="D41" s="76"/>
      <c r="E41" s="76"/>
      <c r="F41" s="76"/>
      <c r="G41" s="76"/>
      <c r="H41" s="76"/>
    </row>
    <row r="42">
      <c r="B42" s="76"/>
      <c r="C42" s="76"/>
      <c r="D42" s="76"/>
      <c r="E42" s="76"/>
      <c r="F42" s="76"/>
      <c r="G42" s="76"/>
      <c r="H42" s="76"/>
    </row>
    <row r="43">
      <c r="B43" s="76"/>
      <c r="C43" s="76"/>
      <c r="D43" s="76"/>
      <c r="E43" s="76"/>
      <c r="F43" s="76"/>
      <c r="G43" s="76"/>
      <c r="H43" s="76"/>
    </row>
    <row r="44">
      <c r="B44" s="76"/>
      <c r="C44" s="76"/>
      <c r="D44" s="76"/>
      <c r="E44" s="76"/>
      <c r="F44" s="76"/>
      <c r="G44" s="76"/>
      <c r="H44" s="76"/>
    </row>
    <row r="45">
      <c r="B45" s="76"/>
      <c r="C45" s="76"/>
      <c r="D45" s="76"/>
      <c r="E45" s="76"/>
      <c r="F45" s="76"/>
      <c r="G45" s="76"/>
      <c r="H45" s="76"/>
    </row>
    <row r="46">
      <c r="B46" s="76"/>
      <c r="C46" s="76"/>
      <c r="D46" s="76"/>
      <c r="E46" s="76"/>
      <c r="F46" s="76"/>
      <c r="G46" s="76"/>
      <c r="H46" s="76"/>
    </row>
    <row r="47">
      <c r="B47" s="76"/>
      <c r="C47" s="76"/>
      <c r="D47" s="76"/>
      <c r="E47" s="76"/>
      <c r="F47" s="76"/>
      <c r="G47" s="76"/>
      <c r="H47" s="76"/>
    </row>
    <row r="48">
      <c r="B48" s="76"/>
      <c r="C48" s="76"/>
      <c r="D48" s="76"/>
      <c r="E48" s="76"/>
      <c r="F48" s="76"/>
      <c r="G48" s="76"/>
      <c r="H48" s="76"/>
    </row>
    <row r="49">
      <c r="B49" s="76"/>
      <c r="C49" s="76"/>
      <c r="D49" s="76"/>
      <c r="E49" s="76"/>
      <c r="F49" s="76"/>
      <c r="G49" s="76"/>
      <c r="H49" s="76"/>
    </row>
    <row r="50">
      <c r="B50" s="76"/>
      <c r="C50" s="76"/>
      <c r="D50" s="76"/>
      <c r="E50" s="76"/>
      <c r="F50" s="76"/>
      <c r="G50" s="76"/>
      <c r="H50" s="76"/>
    </row>
    <row r="51">
      <c r="B51" s="76"/>
      <c r="C51" s="76"/>
      <c r="D51" s="76"/>
      <c r="E51" s="76"/>
      <c r="F51" s="76"/>
      <c r="G51" s="76"/>
      <c r="H51" s="76"/>
    </row>
    <row r="52">
      <c r="B52" s="76"/>
      <c r="C52" s="76"/>
      <c r="D52" s="76"/>
      <c r="E52" s="76"/>
      <c r="F52" s="76"/>
      <c r="G52" s="76"/>
      <c r="H52" s="76"/>
    </row>
    <row r="53">
      <c r="B53" s="76"/>
      <c r="C53" s="76"/>
      <c r="D53" s="76"/>
      <c r="E53" s="76"/>
      <c r="F53" s="76"/>
      <c r="G53" s="76"/>
      <c r="H53" s="76"/>
    </row>
    <row r="54">
      <c r="B54" s="76"/>
      <c r="C54" s="76"/>
      <c r="D54" s="76"/>
      <c r="E54" s="76"/>
      <c r="F54" s="76"/>
      <c r="G54" s="76"/>
      <c r="H54" s="76"/>
    </row>
    <row r="55">
      <c r="B55" s="76"/>
      <c r="C55" s="76"/>
      <c r="D55" s="76"/>
      <c r="E55" s="76"/>
      <c r="F55" s="76"/>
      <c r="G55" s="76"/>
      <c r="H55" s="76"/>
    </row>
    <row r="56">
      <c r="B56" s="76"/>
      <c r="C56" s="76"/>
      <c r="D56" s="76"/>
      <c r="E56" s="76"/>
      <c r="F56" s="76"/>
      <c r="G56" s="76"/>
      <c r="H56" s="76"/>
    </row>
    <row r="57">
      <c r="B57" s="76"/>
      <c r="C57" s="76"/>
      <c r="D57" s="76"/>
      <c r="E57" s="76"/>
      <c r="F57" s="76"/>
      <c r="G57" s="76"/>
      <c r="H57" s="76"/>
    </row>
    <row r="58">
      <c r="B58" s="76"/>
      <c r="C58" s="76"/>
      <c r="D58" s="76"/>
      <c r="E58" s="76"/>
      <c r="F58" s="76"/>
      <c r="G58" s="76"/>
      <c r="H58" s="76"/>
    </row>
    <row r="59">
      <c r="B59" s="76"/>
      <c r="C59" s="76"/>
      <c r="D59" s="76"/>
      <c r="E59" s="76"/>
      <c r="F59" s="76"/>
      <c r="G59" s="76"/>
      <c r="H59" s="76"/>
    </row>
    <row r="60">
      <c r="B60" s="76"/>
      <c r="C60" s="76"/>
      <c r="D60" s="76"/>
      <c r="E60" s="76"/>
      <c r="F60" s="76"/>
      <c r="G60" s="76"/>
      <c r="H60" s="76"/>
    </row>
    <row r="61">
      <c r="B61" s="76"/>
      <c r="C61" s="76"/>
      <c r="D61" s="76"/>
      <c r="E61" s="76"/>
      <c r="F61" s="76"/>
      <c r="G61" s="76"/>
      <c r="H61" s="76"/>
    </row>
    <row r="62">
      <c r="B62" s="76"/>
      <c r="C62" s="76"/>
      <c r="D62" s="76"/>
      <c r="E62" s="76"/>
      <c r="F62" s="76"/>
      <c r="G62" s="76"/>
      <c r="H62" s="76"/>
    </row>
    <row r="63">
      <c r="B63" s="76"/>
      <c r="C63" s="76"/>
      <c r="D63" s="76"/>
      <c r="E63" s="76"/>
      <c r="F63" s="76"/>
      <c r="G63" s="76"/>
      <c r="H63" s="76"/>
    </row>
    <row r="64">
      <c r="B64" s="76"/>
      <c r="C64" s="76"/>
      <c r="D64" s="76"/>
      <c r="E64" s="76"/>
      <c r="F64" s="76"/>
      <c r="G64" s="76"/>
      <c r="H64" s="76"/>
    </row>
    <row r="65">
      <c r="B65" s="76"/>
      <c r="C65" s="76"/>
      <c r="D65" s="76"/>
      <c r="E65" s="76"/>
      <c r="F65" s="76"/>
      <c r="G65" s="76"/>
      <c r="H65" s="76"/>
    </row>
    <row r="66">
      <c r="B66" s="76"/>
      <c r="C66" s="76"/>
      <c r="D66" s="76"/>
      <c r="E66" s="76"/>
      <c r="F66" s="76"/>
      <c r="G66" s="76"/>
      <c r="H66" s="76"/>
    </row>
    <row r="67">
      <c r="B67" s="76"/>
      <c r="C67" s="76"/>
      <c r="D67" s="76"/>
      <c r="E67" s="76"/>
      <c r="F67" s="76"/>
      <c r="G67" s="76"/>
      <c r="H67" s="76"/>
    </row>
    <row r="68">
      <c r="B68" s="76"/>
      <c r="C68" s="76"/>
      <c r="D68" s="76"/>
      <c r="E68" s="76"/>
      <c r="F68" s="76"/>
      <c r="G68" s="76"/>
      <c r="H68" s="76"/>
    </row>
    <row r="69">
      <c r="B69" s="76"/>
      <c r="C69" s="76"/>
      <c r="D69" s="76"/>
      <c r="E69" s="76"/>
      <c r="F69" s="76"/>
      <c r="G69" s="76"/>
      <c r="H69" s="76"/>
    </row>
    <row r="70">
      <c r="B70" s="76"/>
      <c r="C70" s="76"/>
      <c r="D70" s="76"/>
      <c r="E70" s="76"/>
      <c r="F70" s="76"/>
      <c r="G70" s="76"/>
      <c r="H70" s="76"/>
    </row>
    <row r="71">
      <c r="B71" s="76"/>
      <c r="C71" s="76"/>
      <c r="D71" s="76"/>
      <c r="E71" s="76"/>
      <c r="F71" s="76"/>
      <c r="G71" s="76"/>
      <c r="H71" s="76"/>
    </row>
    <row r="72">
      <c r="B72" s="76"/>
      <c r="C72" s="76"/>
      <c r="D72" s="76"/>
      <c r="E72" s="76"/>
      <c r="F72" s="76"/>
      <c r="G72" s="76"/>
      <c r="H72" s="76"/>
    </row>
    <row r="73">
      <c r="B73" s="76"/>
      <c r="C73" s="76"/>
      <c r="D73" s="76"/>
      <c r="E73" s="76"/>
      <c r="F73" s="76"/>
      <c r="G73" s="76"/>
      <c r="H73" s="76"/>
    </row>
    <row r="74">
      <c r="B74" s="76"/>
      <c r="C74" s="76"/>
      <c r="D74" s="76"/>
      <c r="E74" s="76"/>
      <c r="F74" s="76"/>
      <c r="G74" s="76"/>
      <c r="H74" s="76"/>
    </row>
    <row r="75">
      <c r="B75" s="76"/>
      <c r="C75" s="76"/>
      <c r="D75" s="76"/>
      <c r="E75" s="76"/>
      <c r="F75" s="76"/>
      <c r="G75" s="76"/>
      <c r="H75" s="76"/>
    </row>
    <row r="76">
      <c r="B76" s="76"/>
      <c r="C76" s="76"/>
      <c r="D76" s="76"/>
      <c r="E76" s="76"/>
      <c r="F76" s="76"/>
      <c r="G76" s="76"/>
      <c r="H76" s="76"/>
    </row>
    <row r="77">
      <c r="B77" s="76"/>
      <c r="C77" s="76"/>
      <c r="D77" s="76"/>
      <c r="E77" s="76"/>
      <c r="F77" s="76"/>
      <c r="G77" s="76"/>
      <c r="H77" s="76"/>
    </row>
    <row r="78">
      <c r="B78" s="76"/>
      <c r="C78" s="76"/>
      <c r="D78" s="76"/>
      <c r="E78" s="76"/>
      <c r="F78" s="76"/>
      <c r="G78" s="76"/>
      <c r="H78" s="76"/>
    </row>
    <row r="79">
      <c r="B79" s="76"/>
      <c r="C79" s="76"/>
      <c r="D79" s="76"/>
      <c r="E79" s="76"/>
      <c r="F79" s="76"/>
      <c r="G79" s="76"/>
      <c r="H79" s="76"/>
    </row>
    <row r="80">
      <c r="B80" s="76"/>
      <c r="C80" s="76"/>
      <c r="D80" s="76"/>
      <c r="E80" s="76"/>
      <c r="F80" s="76"/>
      <c r="G80" s="76"/>
      <c r="H80" s="76"/>
    </row>
    <row r="81">
      <c r="B81" s="76"/>
      <c r="C81" s="76"/>
      <c r="D81" s="76"/>
      <c r="E81" s="76"/>
      <c r="F81" s="76"/>
      <c r="G81" s="76"/>
      <c r="H81" s="76"/>
    </row>
    <row r="82">
      <c r="B82" s="76"/>
      <c r="C82" s="76"/>
      <c r="D82" s="76"/>
      <c r="E82" s="76"/>
      <c r="F82" s="76"/>
      <c r="G82" s="76"/>
      <c r="H82" s="76"/>
    </row>
    <row r="83">
      <c r="B83" s="76"/>
      <c r="C83" s="76"/>
      <c r="D83" s="76"/>
      <c r="E83" s="76"/>
      <c r="F83" s="76"/>
      <c r="G83" s="76"/>
      <c r="H83" s="76"/>
    </row>
    <row r="84">
      <c r="B84" s="76"/>
      <c r="C84" s="76"/>
      <c r="D84" s="76"/>
      <c r="E84" s="76"/>
      <c r="F84" s="76"/>
      <c r="G84" s="76"/>
      <c r="H84" s="76"/>
    </row>
    <row r="85">
      <c r="B85" s="76"/>
      <c r="C85" s="76"/>
      <c r="D85" s="76"/>
      <c r="E85" s="76"/>
      <c r="F85" s="76"/>
      <c r="G85" s="76"/>
      <c r="H85" s="76"/>
    </row>
    <row r="86">
      <c r="B86" s="76"/>
      <c r="C86" s="76"/>
      <c r="D86" s="76"/>
      <c r="E86" s="76"/>
      <c r="F86" s="76"/>
      <c r="G86" s="76"/>
      <c r="H86" s="76"/>
    </row>
    <row r="87">
      <c r="B87" s="76"/>
      <c r="C87" s="76"/>
      <c r="D87" s="76"/>
      <c r="E87" s="76"/>
      <c r="F87" s="76"/>
      <c r="G87" s="76"/>
      <c r="H87" s="76"/>
    </row>
    <row r="88">
      <c r="B88" s="76"/>
      <c r="C88" s="76"/>
      <c r="D88" s="76"/>
      <c r="E88" s="76"/>
      <c r="F88" s="76"/>
      <c r="G88" s="76"/>
      <c r="H88" s="76"/>
    </row>
    <row r="89">
      <c r="B89" s="76"/>
      <c r="C89" s="76"/>
      <c r="D89" s="76"/>
      <c r="E89" s="76"/>
      <c r="F89" s="76"/>
      <c r="G89" s="76"/>
      <c r="H89" s="76"/>
    </row>
    <row r="90">
      <c r="B90" s="76"/>
      <c r="C90" s="76"/>
      <c r="D90" s="76"/>
      <c r="E90" s="76"/>
      <c r="F90" s="76"/>
      <c r="G90" s="76"/>
      <c r="H90" s="76"/>
    </row>
    <row r="91">
      <c r="B91" s="76"/>
      <c r="C91" s="76"/>
      <c r="D91" s="76"/>
      <c r="E91" s="76"/>
      <c r="F91" s="76"/>
      <c r="G91" s="76"/>
      <c r="H91" s="76"/>
    </row>
    <row r="92">
      <c r="B92" s="76"/>
      <c r="C92" s="76"/>
      <c r="D92" s="76"/>
      <c r="E92" s="76"/>
      <c r="F92" s="76"/>
      <c r="G92" s="76"/>
      <c r="H92" s="76"/>
    </row>
    <row r="93">
      <c r="B93" s="76"/>
      <c r="C93" s="76"/>
      <c r="D93" s="76"/>
      <c r="E93" s="76"/>
      <c r="F93" s="76"/>
      <c r="G93" s="76"/>
      <c r="H93" s="76"/>
    </row>
    <row r="94">
      <c r="B94" s="76"/>
      <c r="C94" s="76"/>
      <c r="D94" s="76"/>
      <c r="E94" s="76"/>
      <c r="F94" s="76"/>
      <c r="G94" s="76"/>
      <c r="H94" s="76"/>
    </row>
    <row r="95">
      <c r="B95" s="76"/>
      <c r="C95" s="76"/>
      <c r="D95" s="76"/>
      <c r="E95" s="76"/>
      <c r="F95" s="76"/>
      <c r="G95" s="76"/>
      <c r="H95" s="76"/>
    </row>
    <row r="96">
      <c r="B96" s="76"/>
      <c r="C96" s="76"/>
      <c r="D96" s="76"/>
      <c r="E96" s="76"/>
      <c r="F96" s="76"/>
      <c r="G96" s="76"/>
      <c r="H96" s="76"/>
    </row>
    <row r="97">
      <c r="B97" s="76"/>
      <c r="C97" s="76"/>
      <c r="D97" s="76"/>
      <c r="E97" s="76"/>
      <c r="F97" s="76"/>
      <c r="G97" s="76"/>
      <c r="H97" s="76"/>
    </row>
    <row r="98">
      <c r="B98" s="76"/>
      <c r="C98" s="76"/>
      <c r="D98" s="76"/>
      <c r="E98" s="76"/>
      <c r="F98" s="76"/>
      <c r="G98" s="76"/>
      <c r="H98" s="76"/>
    </row>
    <row r="99">
      <c r="B99" s="76"/>
      <c r="C99" s="76"/>
      <c r="D99" s="76"/>
      <c r="E99" s="76"/>
      <c r="F99" s="76"/>
      <c r="G99" s="76"/>
      <c r="H99" s="76"/>
    </row>
    <row r="100">
      <c r="B100" s="76"/>
      <c r="C100" s="76"/>
      <c r="D100" s="76"/>
      <c r="E100" s="76"/>
      <c r="F100" s="76"/>
      <c r="G100" s="76"/>
      <c r="H100" s="76"/>
    </row>
    <row r="101">
      <c r="B101" s="76"/>
      <c r="C101" s="76"/>
      <c r="D101" s="76"/>
      <c r="E101" s="76"/>
      <c r="F101" s="76"/>
      <c r="G101" s="76"/>
      <c r="H101" s="76"/>
    </row>
    <row r="102">
      <c r="B102" s="76"/>
      <c r="C102" s="76"/>
      <c r="D102" s="76"/>
      <c r="E102" s="76"/>
      <c r="F102" s="76"/>
      <c r="G102" s="76"/>
      <c r="H102" s="76"/>
    </row>
    <row r="103">
      <c r="B103" s="76"/>
      <c r="C103" s="76"/>
      <c r="D103" s="76"/>
      <c r="E103" s="76"/>
      <c r="F103" s="76"/>
      <c r="G103" s="76"/>
      <c r="H103" s="76"/>
    </row>
    <row r="104">
      <c r="B104" s="76"/>
      <c r="C104" s="76"/>
      <c r="D104" s="76"/>
      <c r="E104" s="76"/>
      <c r="F104" s="76"/>
      <c r="G104" s="76"/>
      <c r="H104" s="76"/>
    </row>
    <row r="105">
      <c r="B105" s="76"/>
      <c r="C105" s="76"/>
      <c r="D105" s="76"/>
      <c r="E105" s="76"/>
      <c r="F105" s="76"/>
      <c r="G105" s="76"/>
      <c r="H105" s="76"/>
    </row>
    <row r="106">
      <c r="B106" s="76"/>
      <c r="C106" s="76"/>
      <c r="D106" s="76"/>
      <c r="E106" s="76"/>
      <c r="F106" s="76"/>
      <c r="G106" s="76"/>
      <c r="H106" s="76"/>
    </row>
    <row r="107">
      <c r="B107" s="76"/>
      <c r="C107" s="76"/>
      <c r="D107" s="76"/>
      <c r="E107" s="76"/>
      <c r="F107" s="76"/>
      <c r="G107" s="76"/>
      <c r="H107" s="76"/>
    </row>
    <row r="108">
      <c r="B108" s="76"/>
      <c r="C108" s="76"/>
      <c r="D108" s="76"/>
      <c r="E108" s="76"/>
      <c r="F108" s="76"/>
      <c r="G108" s="76"/>
      <c r="H108" s="76"/>
    </row>
    <row r="109">
      <c r="B109" s="76"/>
      <c r="C109" s="76"/>
      <c r="D109" s="76"/>
      <c r="E109" s="76"/>
      <c r="F109" s="76"/>
      <c r="G109" s="76"/>
      <c r="H109" s="76"/>
    </row>
    <row r="110">
      <c r="B110" s="76"/>
      <c r="C110" s="76"/>
      <c r="D110" s="76"/>
      <c r="E110" s="76"/>
      <c r="F110" s="76"/>
      <c r="G110" s="76"/>
      <c r="H110" s="76"/>
    </row>
    <row r="111">
      <c r="B111" s="76"/>
      <c r="C111" s="76"/>
      <c r="D111" s="76"/>
      <c r="E111" s="76"/>
      <c r="F111" s="76"/>
      <c r="G111" s="76"/>
      <c r="H111" s="76"/>
    </row>
    <row r="112">
      <c r="B112" s="76"/>
      <c r="C112" s="76"/>
      <c r="D112" s="76"/>
      <c r="E112" s="76"/>
      <c r="F112" s="76"/>
      <c r="G112" s="76"/>
      <c r="H112" s="76"/>
    </row>
    <row r="113">
      <c r="B113" s="76"/>
      <c r="C113" s="76"/>
      <c r="D113" s="76"/>
      <c r="E113" s="76"/>
      <c r="F113" s="76"/>
      <c r="G113" s="76"/>
      <c r="H113" s="76"/>
    </row>
    <row r="114">
      <c r="B114" s="76"/>
      <c r="C114" s="76"/>
      <c r="D114" s="76"/>
      <c r="E114" s="76"/>
      <c r="F114" s="76"/>
      <c r="G114" s="76"/>
      <c r="H114" s="76"/>
    </row>
    <row r="115">
      <c r="B115" s="76"/>
      <c r="C115" s="76"/>
      <c r="D115" s="76"/>
      <c r="E115" s="76"/>
      <c r="F115" s="76"/>
      <c r="G115" s="76"/>
      <c r="H115" s="76"/>
    </row>
    <row r="116">
      <c r="B116" s="76"/>
      <c r="C116" s="76"/>
      <c r="D116" s="76"/>
      <c r="E116" s="76"/>
      <c r="F116" s="76"/>
      <c r="G116" s="76"/>
      <c r="H116" s="76"/>
    </row>
    <row r="117">
      <c r="B117" s="76"/>
      <c r="C117" s="76"/>
      <c r="D117" s="76"/>
      <c r="E117" s="76"/>
      <c r="F117" s="76"/>
      <c r="G117" s="76"/>
      <c r="H117" s="76"/>
    </row>
    <row r="118">
      <c r="B118" s="76"/>
      <c r="C118" s="76"/>
      <c r="D118" s="76"/>
      <c r="E118" s="76"/>
      <c r="F118" s="76"/>
      <c r="G118" s="76"/>
      <c r="H118" s="76"/>
    </row>
    <row r="119">
      <c r="B119" s="76"/>
      <c r="C119" s="76"/>
      <c r="D119" s="76"/>
      <c r="E119" s="76"/>
      <c r="F119" s="76"/>
      <c r="G119" s="76"/>
      <c r="H119" s="76"/>
    </row>
    <row r="120">
      <c r="B120" s="76"/>
      <c r="C120" s="76"/>
      <c r="D120" s="76"/>
      <c r="E120" s="76"/>
      <c r="F120" s="76"/>
      <c r="G120" s="76"/>
      <c r="H120" s="76"/>
    </row>
    <row r="121">
      <c r="B121" s="76"/>
      <c r="C121" s="76"/>
      <c r="D121" s="76"/>
      <c r="E121" s="76"/>
      <c r="F121" s="76"/>
      <c r="G121" s="76"/>
      <c r="H121" s="76"/>
    </row>
    <row r="122">
      <c r="B122" s="76"/>
      <c r="C122" s="76"/>
      <c r="D122" s="76"/>
      <c r="E122" s="76"/>
      <c r="F122" s="76"/>
      <c r="G122" s="76"/>
      <c r="H122" s="76"/>
    </row>
    <row r="123">
      <c r="B123" s="76"/>
      <c r="C123" s="76"/>
      <c r="D123" s="76"/>
      <c r="E123" s="76"/>
      <c r="F123" s="76"/>
      <c r="G123" s="76"/>
      <c r="H123" s="76"/>
    </row>
    <row r="124">
      <c r="B124" s="76"/>
      <c r="C124" s="76"/>
      <c r="D124" s="76"/>
      <c r="E124" s="76"/>
      <c r="F124" s="76"/>
      <c r="G124" s="76"/>
      <c r="H124" s="76"/>
    </row>
    <row r="125">
      <c r="B125" s="76"/>
      <c r="C125" s="76"/>
      <c r="D125" s="76"/>
      <c r="E125" s="76"/>
      <c r="F125" s="76"/>
      <c r="G125" s="76"/>
      <c r="H125" s="76"/>
    </row>
    <row r="126">
      <c r="B126" s="76"/>
      <c r="C126" s="76"/>
      <c r="D126" s="76"/>
      <c r="E126" s="76"/>
      <c r="F126" s="76"/>
      <c r="G126" s="76"/>
      <c r="H126" s="76"/>
    </row>
    <row r="127">
      <c r="B127" s="76"/>
      <c r="C127" s="76"/>
      <c r="D127" s="76"/>
      <c r="E127" s="76"/>
      <c r="F127" s="76"/>
      <c r="G127" s="76"/>
      <c r="H127" s="76"/>
    </row>
    <row r="128">
      <c r="B128" s="76"/>
      <c r="C128" s="76"/>
      <c r="D128" s="76"/>
      <c r="E128" s="76"/>
      <c r="F128" s="76"/>
      <c r="G128" s="76"/>
      <c r="H128" s="76"/>
    </row>
    <row r="129">
      <c r="B129" s="76"/>
      <c r="C129" s="76"/>
      <c r="D129" s="76"/>
      <c r="E129" s="76"/>
      <c r="F129" s="76"/>
      <c r="G129" s="76"/>
      <c r="H129" s="76"/>
    </row>
    <row r="130">
      <c r="B130" s="76"/>
      <c r="C130" s="76"/>
      <c r="D130" s="76"/>
      <c r="E130" s="76"/>
      <c r="F130" s="76"/>
      <c r="G130" s="76"/>
      <c r="H130" s="76"/>
    </row>
    <row r="131">
      <c r="B131" s="76"/>
      <c r="C131" s="76"/>
      <c r="D131" s="76"/>
      <c r="E131" s="76"/>
      <c r="F131" s="76"/>
      <c r="G131" s="76"/>
      <c r="H131" s="76"/>
    </row>
    <row r="132">
      <c r="B132" s="76"/>
      <c r="C132" s="76"/>
      <c r="D132" s="76"/>
      <c r="E132" s="76"/>
      <c r="F132" s="76"/>
      <c r="G132" s="76"/>
      <c r="H132" s="76"/>
    </row>
    <row r="133">
      <c r="B133" s="76"/>
      <c r="C133" s="76"/>
      <c r="D133" s="76"/>
      <c r="E133" s="76"/>
      <c r="F133" s="76"/>
      <c r="G133" s="76"/>
      <c r="H133" s="76"/>
    </row>
    <row r="134">
      <c r="B134" s="76"/>
      <c r="C134" s="76"/>
      <c r="D134" s="76"/>
      <c r="E134" s="76"/>
      <c r="F134" s="76"/>
      <c r="G134" s="76"/>
      <c r="H134" s="76"/>
    </row>
    <row r="135">
      <c r="B135" s="76"/>
      <c r="C135" s="76"/>
      <c r="D135" s="76"/>
      <c r="E135" s="76"/>
      <c r="F135" s="76"/>
      <c r="G135" s="76"/>
      <c r="H135" s="76"/>
    </row>
    <row r="136">
      <c r="B136" s="76"/>
      <c r="C136" s="76"/>
      <c r="D136" s="76"/>
      <c r="E136" s="76"/>
      <c r="F136" s="76"/>
      <c r="G136" s="76"/>
      <c r="H136" s="76"/>
    </row>
    <row r="137">
      <c r="B137" s="76"/>
      <c r="C137" s="76"/>
      <c r="D137" s="76"/>
      <c r="E137" s="76"/>
      <c r="F137" s="76"/>
      <c r="G137" s="76"/>
      <c r="H137" s="76"/>
    </row>
    <row r="138">
      <c r="B138" s="76"/>
      <c r="C138" s="76"/>
      <c r="D138" s="76"/>
      <c r="E138" s="76"/>
      <c r="F138" s="76"/>
      <c r="G138" s="76"/>
      <c r="H138" s="76"/>
    </row>
    <row r="139">
      <c r="B139" s="76"/>
      <c r="C139" s="76"/>
      <c r="D139" s="76"/>
      <c r="E139" s="76"/>
      <c r="F139" s="76"/>
      <c r="G139" s="76"/>
      <c r="H139" s="76"/>
    </row>
    <row r="140">
      <c r="B140" s="76"/>
      <c r="C140" s="76"/>
      <c r="D140" s="76"/>
      <c r="E140" s="76"/>
      <c r="F140" s="76"/>
      <c r="G140" s="76"/>
      <c r="H140" s="76"/>
    </row>
    <row r="141">
      <c r="B141" s="76"/>
      <c r="C141" s="76"/>
      <c r="D141" s="76"/>
      <c r="E141" s="76"/>
      <c r="F141" s="76"/>
      <c r="G141" s="76"/>
      <c r="H141" s="76"/>
    </row>
    <row r="142">
      <c r="B142" s="76"/>
      <c r="C142" s="76"/>
      <c r="D142" s="76"/>
      <c r="E142" s="76"/>
      <c r="F142" s="76"/>
      <c r="G142" s="76"/>
      <c r="H142" s="76"/>
    </row>
    <row r="143">
      <c r="B143" s="76"/>
      <c r="C143" s="76"/>
      <c r="D143" s="76"/>
      <c r="E143" s="76"/>
      <c r="F143" s="76"/>
      <c r="G143" s="76"/>
      <c r="H143" s="76"/>
    </row>
    <row r="144">
      <c r="B144" s="76"/>
      <c r="C144" s="76"/>
      <c r="D144" s="76"/>
      <c r="E144" s="76"/>
      <c r="F144" s="76"/>
      <c r="G144" s="76"/>
      <c r="H144" s="76"/>
    </row>
    <row r="145">
      <c r="B145" s="76"/>
      <c r="C145" s="76"/>
      <c r="D145" s="76"/>
      <c r="E145" s="76"/>
      <c r="F145" s="76"/>
      <c r="G145" s="76"/>
      <c r="H145" s="76"/>
    </row>
    <row r="146">
      <c r="B146" s="76"/>
      <c r="C146" s="76"/>
      <c r="D146" s="76"/>
      <c r="E146" s="76"/>
      <c r="F146" s="76"/>
      <c r="G146" s="76"/>
      <c r="H146" s="76"/>
    </row>
    <row r="147">
      <c r="B147" s="76"/>
      <c r="C147" s="76"/>
      <c r="D147" s="76"/>
      <c r="E147" s="76"/>
      <c r="F147" s="76"/>
      <c r="G147" s="76"/>
      <c r="H147" s="76"/>
    </row>
    <row r="148">
      <c r="B148" s="76"/>
      <c r="C148" s="76"/>
      <c r="D148" s="76"/>
      <c r="E148" s="76"/>
      <c r="F148" s="76"/>
      <c r="G148" s="76"/>
      <c r="H148" s="76"/>
    </row>
    <row r="149">
      <c r="B149" s="76"/>
      <c r="C149" s="76"/>
      <c r="D149" s="76"/>
      <c r="E149" s="76"/>
      <c r="F149" s="76"/>
      <c r="G149" s="76"/>
      <c r="H149" s="76"/>
    </row>
    <row r="150">
      <c r="B150" s="76"/>
      <c r="C150" s="76"/>
      <c r="D150" s="76"/>
      <c r="E150" s="76"/>
      <c r="F150" s="76"/>
      <c r="G150" s="76"/>
      <c r="H150" s="76"/>
    </row>
    <row r="151">
      <c r="B151" s="76"/>
      <c r="C151" s="76"/>
      <c r="D151" s="76"/>
      <c r="E151" s="76"/>
      <c r="F151" s="76"/>
      <c r="G151" s="76"/>
      <c r="H151" s="76"/>
    </row>
    <row r="152">
      <c r="B152" s="76"/>
      <c r="C152" s="76"/>
      <c r="D152" s="76"/>
      <c r="E152" s="76"/>
      <c r="F152" s="76"/>
      <c r="G152" s="76"/>
      <c r="H152" s="76"/>
    </row>
    <row r="153">
      <c r="B153" s="76"/>
      <c r="C153" s="76"/>
      <c r="D153" s="76"/>
      <c r="E153" s="76"/>
      <c r="F153" s="76"/>
      <c r="G153" s="76"/>
      <c r="H153" s="76"/>
    </row>
    <row r="154">
      <c r="B154" s="76"/>
      <c r="C154" s="76"/>
      <c r="D154" s="76"/>
      <c r="E154" s="76"/>
      <c r="F154" s="76"/>
      <c r="G154" s="76"/>
      <c r="H154" s="76"/>
    </row>
    <row r="155">
      <c r="B155" s="76"/>
      <c r="C155" s="76"/>
      <c r="D155" s="76"/>
      <c r="E155" s="76"/>
      <c r="F155" s="76"/>
      <c r="G155" s="76"/>
      <c r="H155" s="76"/>
    </row>
    <row r="156">
      <c r="B156" s="76"/>
      <c r="C156" s="76"/>
      <c r="D156" s="76"/>
      <c r="E156" s="76"/>
      <c r="F156" s="76"/>
      <c r="G156" s="76"/>
      <c r="H156" s="76"/>
    </row>
    <row r="157">
      <c r="B157" s="76"/>
      <c r="C157" s="76"/>
      <c r="D157" s="76"/>
      <c r="E157" s="76"/>
      <c r="F157" s="76"/>
      <c r="G157" s="76"/>
      <c r="H157" s="76"/>
    </row>
    <row r="158">
      <c r="B158" s="76"/>
      <c r="C158" s="76"/>
      <c r="D158" s="76"/>
      <c r="E158" s="76"/>
      <c r="F158" s="76"/>
      <c r="G158" s="76"/>
      <c r="H158" s="76"/>
    </row>
    <row r="159">
      <c r="B159" s="76"/>
      <c r="C159" s="76"/>
      <c r="D159" s="76"/>
      <c r="E159" s="76"/>
      <c r="F159" s="76"/>
      <c r="G159" s="76"/>
      <c r="H159" s="76"/>
    </row>
    <row r="160">
      <c r="B160" s="76"/>
      <c r="C160" s="76"/>
      <c r="D160" s="76"/>
      <c r="E160" s="76"/>
      <c r="F160" s="76"/>
      <c r="G160" s="76"/>
      <c r="H160" s="76"/>
    </row>
    <row r="161">
      <c r="B161" s="76"/>
      <c r="C161" s="76"/>
      <c r="D161" s="76"/>
      <c r="E161" s="76"/>
      <c r="F161" s="76"/>
      <c r="G161" s="76"/>
      <c r="H161" s="76"/>
    </row>
    <row r="162">
      <c r="B162" s="76"/>
      <c r="C162" s="76"/>
      <c r="D162" s="76"/>
      <c r="E162" s="76"/>
      <c r="F162" s="76"/>
      <c r="G162" s="76"/>
      <c r="H162" s="76"/>
    </row>
    <row r="163">
      <c r="B163" s="76"/>
      <c r="C163" s="76"/>
      <c r="D163" s="76"/>
      <c r="E163" s="76"/>
      <c r="F163" s="76"/>
      <c r="G163" s="76"/>
      <c r="H163" s="76"/>
    </row>
    <row r="164">
      <c r="B164" s="76"/>
      <c r="C164" s="76"/>
      <c r="D164" s="76"/>
      <c r="E164" s="76"/>
      <c r="F164" s="76"/>
      <c r="G164" s="76"/>
      <c r="H164" s="76"/>
    </row>
    <row r="165">
      <c r="B165" s="76"/>
      <c r="C165" s="76"/>
      <c r="D165" s="76"/>
      <c r="E165" s="76"/>
      <c r="F165" s="76"/>
      <c r="G165" s="76"/>
      <c r="H165" s="76"/>
    </row>
    <row r="166">
      <c r="B166" s="76"/>
      <c r="C166" s="76"/>
      <c r="D166" s="76"/>
      <c r="E166" s="76"/>
      <c r="F166" s="76"/>
      <c r="G166" s="76"/>
      <c r="H166" s="76"/>
    </row>
    <row r="167">
      <c r="B167" s="76"/>
      <c r="C167" s="76"/>
      <c r="D167" s="76"/>
      <c r="E167" s="76"/>
      <c r="F167" s="76"/>
      <c r="G167" s="76"/>
      <c r="H167" s="76"/>
    </row>
    <row r="168">
      <c r="B168" s="76"/>
      <c r="C168" s="76"/>
      <c r="D168" s="76"/>
      <c r="E168" s="76"/>
      <c r="F168" s="76"/>
      <c r="G168" s="76"/>
      <c r="H168" s="76"/>
    </row>
    <row r="169">
      <c r="B169" s="76"/>
      <c r="C169" s="76"/>
      <c r="D169" s="76"/>
      <c r="E169" s="76"/>
      <c r="F169" s="76"/>
      <c r="G169" s="76"/>
      <c r="H169" s="76"/>
    </row>
    <row r="170">
      <c r="B170" s="76"/>
      <c r="C170" s="76"/>
      <c r="D170" s="76"/>
      <c r="E170" s="76"/>
      <c r="F170" s="76"/>
      <c r="G170" s="76"/>
      <c r="H170" s="76"/>
    </row>
    <row r="171">
      <c r="B171" s="76"/>
      <c r="C171" s="76"/>
      <c r="D171" s="76"/>
      <c r="E171" s="76"/>
      <c r="F171" s="76"/>
      <c r="G171" s="76"/>
      <c r="H171" s="76"/>
    </row>
    <row r="172">
      <c r="B172" s="76"/>
      <c r="C172" s="76"/>
      <c r="D172" s="76"/>
      <c r="E172" s="76"/>
      <c r="F172" s="76"/>
      <c r="G172" s="76"/>
      <c r="H172" s="76"/>
    </row>
    <row r="173">
      <c r="B173" s="76"/>
      <c r="C173" s="76"/>
      <c r="D173" s="76"/>
      <c r="E173" s="76"/>
      <c r="F173" s="76"/>
      <c r="G173" s="76"/>
      <c r="H173" s="76"/>
    </row>
    <row r="174">
      <c r="B174" s="76"/>
      <c r="C174" s="76"/>
      <c r="D174" s="76"/>
      <c r="E174" s="76"/>
      <c r="F174" s="76"/>
      <c r="G174" s="76"/>
      <c r="H174" s="76"/>
    </row>
    <row r="175">
      <c r="B175" s="76"/>
      <c r="C175" s="76"/>
      <c r="D175" s="76"/>
      <c r="E175" s="76"/>
      <c r="F175" s="76"/>
      <c r="G175" s="76"/>
      <c r="H175" s="76"/>
    </row>
    <row r="176">
      <c r="B176" s="76"/>
      <c r="C176" s="76"/>
      <c r="D176" s="76"/>
      <c r="E176" s="76"/>
      <c r="F176" s="76"/>
      <c r="G176" s="76"/>
      <c r="H176" s="76"/>
    </row>
    <row r="177">
      <c r="B177" s="76"/>
      <c r="C177" s="76"/>
      <c r="D177" s="76"/>
      <c r="E177" s="76"/>
      <c r="F177" s="76"/>
      <c r="G177" s="76"/>
      <c r="H177" s="76"/>
    </row>
    <row r="178">
      <c r="B178" s="76"/>
      <c r="C178" s="76"/>
      <c r="D178" s="76"/>
      <c r="E178" s="76"/>
      <c r="F178" s="76"/>
      <c r="G178" s="76"/>
      <c r="H178" s="76"/>
    </row>
    <row r="179">
      <c r="B179" s="76"/>
      <c r="C179" s="76"/>
      <c r="D179" s="76"/>
      <c r="E179" s="76"/>
      <c r="F179" s="76"/>
      <c r="G179" s="76"/>
      <c r="H179" s="76"/>
    </row>
    <row r="180">
      <c r="B180" s="76"/>
      <c r="C180" s="76"/>
      <c r="D180" s="76"/>
      <c r="E180" s="76"/>
      <c r="F180" s="76"/>
      <c r="G180" s="76"/>
      <c r="H180" s="76"/>
    </row>
    <row r="181">
      <c r="B181" s="76"/>
      <c r="C181" s="76"/>
      <c r="D181" s="76"/>
      <c r="E181" s="76"/>
      <c r="F181" s="76"/>
      <c r="G181" s="76"/>
      <c r="H181" s="76"/>
    </row>
    <row r="182">
      <c r="B182" s="76"/>
      <c r="C182" s="76"/>
      <c r="D182" s="76"/>
      <c r="E182" s="76"/>
      <c r="F182" s="76"/>
      <c r="G182" s="76"/>
      <c r="H182" s="76"/>
    </row>
    <row r="183">
      <c r="B183" s="76"/>
      <c r="C183" s="76"/>
      <c r="D183" s="76"/>
      <c r="E183" s="76"/>
      <c r="F183" s="76"/>
      <c r="G183" s="76"/>
      <c r="H183" s="76"/>
    </row>
    <row r="184">
      <c r="B184" s="76"/>
      <c r="C184" s="76"/>
      <c r="D184" s="76"/>
      <c r="E184" s="76"/>
      <c r="F184" s="76"/>
      <c r="G184" s="76"/>
      <c r="H184" s="76"/>
    </row>
    <row r="185">
      <c r="B185" s="76"/>
      <c r="C185" s="76"/>
      <c r="D185" s="76"/>
      <c r="E185" s="76"/>
      <c r="F185" s="76"/>
      <c r="G185" s="76"/>
      <c r="H185" s="76"/>
    </row>
    <row r="186">
      <c r="B186" s="76"/>
      <c r="C186" s="76"/>
      <c r="D186" s="76"/>
      <c r="E186" s="76"/>
      <c r="F186" s="76"/>
      <c r="G186" s="76"/>
      <c r="H186" s="76"/>
    </row>
    <row r="187">
      <c r="B187" s="76"/>
      <c r="C187" s="76"/>
      <c r="D187" s="76"/>
      <c r="E187" s="76"/>
      <c r="F187" s="76"/>
      <c r="G187" s="76"/>
      <c r="H187" s="76"/>
    </row>
    <row r="188">
      <c r="B188" s="76"/>
      <c r="C188" s="76"/>
      <c r="D188" s="76"/>
      <c r="E188" s="76"/>
      <c r="F188" s="76"/>
      <c r="G188" s="76"/>
      <c r="H188" s="76"/>
    </row>
    <row r="189">
      <c r="B189" s="76"/>
      <c r="C189" s="76"/>
      <c r="D189" s="76"/>
      <c r="E189" s="76"/>
      <c r="F189" s="76"/>
      <c r="G189" s="76"/>
      <c r="H189" s="76"/>
    </row>
    <row r="190">
      <c r="B190" s="76"/>
      <c r="C190" s="76"/>
      <c r="D190" s="76"/>
      <c r="E190" s="76"/>
      <c r="F190" s="76"/>
      <c r="G190" s="76"/>
      <c r="H190" s="76"/>
    </row>
    <row r="191">
      <c r="B191" s="76"/>
      <c r="C191" s="76"/>
      <c r="D191" s="76"/>
      <c r="E191" s="76"/>
      <c r="F191" s="76"/>
      <c r="G191" s="76"/>
      <c r="H191" s="76"/>
    </row>
    <row r="192">
      <c r="B192" s="76"/>
      <c r="C192" s="76"/>
      <c r="D192" s="76"/>
      <c r="E192" s="76"/>
      <c r="F192" s="76"/>
      <c r="G192" s="76"/>
      <c r="H192" s="76"/>
    </row>
    <row r="193">
      <c r="B193" s="76"/>
      <c r="C193" s="76"/>
      <c r="D193" s="76"/>
      <c r="E193" s="76"/>
      <c r="F193" s="76"/>
      <c r="G193" s="76"/>
      <c r="H193" s="76"/>
    </row>
    <row r="194">
      <c r="B194" s="76"/>
      <c r="C194" s="76"/>
      <c r="D194" s="76"/>
      <c r="E194" s="76"/>
      <c r="F194" s="76"/>
      <c r="G194" s="76"/>
      <c r="H194" s="76"/>
    </row>
    <row r="195">
      <c r="B195" s="76"/>
      <c r="C195" s="76"/>
      <c r="D195" s="76"/>
      <c r="E195" s="76"/>
      <c r="F195" s="76"/>
      <c r="G195" s="76"/>
      <c r="H195" s="76"/>
    </row>
    <row r="196">
      <c r="B196" s="76"/>
      <c r="C196" s="76"/>
      <c r="D196" s="76"/>
      <c r="E196" s="76"/>
      <c r="F196" s="76"/>
      <c r="G196" s="76"/>
      <c r="H196" s="76"/>
    </row>
    <row r="197">
      <c r="B197" s="76"/>
      <c r="C197" s="76"/>
      <c r="D197" s="76"/>
      <c r="E197" s="76"/>
      <c r="F197" s="76"/>
      <c r="G197" s="76"/>
      <c r="H197" s="76"/>
    </row>
    <row r="198">
      <c r="B198" s="76"/>
      <c r="C198" s="76"/>
      <c r="D198" s="76"/>
      <c r="E198" s="76"/>
      <c r="F198" s="76"/>
      <c r="G198" s="76"/>
      <c r="H198" s="76"/>
    </row>
    <row r="199">
      <c r="B199" s="76"/>
      <c r="C199" s="76"/>
      <c r="D199" s="76"/>
      <c r="E199" s="76"/>
      <c r="F199" s="76"/>
      <c r="G199" s="76"/>
      <c r="H199" s="76"/>
    </row>
    <row r="200">
      <c r="B200" s="76"/>
      <c r="C200" s="76"/>
      <c r="D200" s="76"/>
      <c r="E200" s="76"/>
      <c r="F200" s="76"/>
      <c r="G200" s="76"/>
      <c r="H200" s="76"/>
    </row>
    <row r="201">
      <c r="B201" s="76"/>
      <c r="C201" s="76"/>
      <c r="D201" s="76"/>
      <c r="E201" s="76"/>
      <c r="F201" s="76"/>
      <c r="G201" s="76"/>
      <c r="H201" s="76"/>
    </row>
    <row r="202">
      <c r="B202" s="76"/>
      <c r="C202" s="76"/>
      <c r="D202" s="76"/>
      <c r="E202" s="76"/>
      <c r="F202" s="76"/>
      <c r="G202" s="76"/>
      <c r="H202" s="76"/>
    </row>
    <row r="203">
      <c r="B203" s="76"/>
      <c r="C203" s="76"/>
      <c r="D203" s="76"/>
      <c r="E203" s="76"/>
      <c r="F203" s="76"/>
      <c r="G203" s="76"/>
      <c r="H203" s="76"/>
    </row>
    <row r="204">
      <c r="B204" s="76"/>
      <c r="C204" s="76"/>
      <c r="D204" s="76"/>
      <c r="E204" s="76"/>
      <c r="F204" s="76"/>
      <c r="G204" s="76"/>
      <c r="H204" s="76"/>
    </row>
    <row r="205">
      <c r="B205" s="76"/>
      <c r="C205" s="76"/>
      <c r="D205" s="76"/>
      <c r="E205" s="76"/>
      <c r="F205" s="76"/>
      <c r="G205" s="76"/>
      <c r="H205" s="76"/>
    </row>
    <row r="206">
      <c r="B206" s="76"/>
      <c r="C206" s="76"/>
      <c r="D206" s="76"/>
      <c r="E206" s="76"/>
      <c r="F206" s="76"/>
      <c r="G206" s="76"/>
      <c r="H206" s="76"/>
    </row>
    <row r="207">
      <c r="B207" s="76"/>
      <c r="C207" s="76"/>
      <c r="D207" s="76"/>
      <c r="E207" s="76"/>
      <c r="F207" s="76"/>
      <c r="G207" s="76"/>
      <c r="H207" s="76"/>
    </row>
    <row r="208">
      <c r="B208" s="76"/>
      <c r="C208" s="76"/>
      <c r="D208" s="76"/>
      <c r="E208" s="76"/>
      <c r="F208" s="76"/>
      <c r="G208" s="76"/>
      <c r="H208" s="76"/>
    </row>
    <row r="209">
      <c r="B209" s="76"/>
      <c r="C209" s="76"/>
      <c r="D209" s="76"/>
      <c r="E209" s="76"/>
      <c r="F209" s="76"/>
      <c r="G209" s="76"/>
      <c r="H209" s="76"/>
    </row>
    <row r="210">
      <c r="B210" s="76"/>
      <c r="C210" s="76"/>
      <c r="D210" s="76"/>
      <c r="E210" s="76"/>
      <c r="F210" s="76"/>
      <c r="G210" s="76"/>
      <c r="H210" s="76"/>
    </row>
    <row r="211">
      <c r="B211" s="76"/>
      <c r="C211" s="76"/>
      <c r="D211" s="76"/>
      <c r="E211" s="76"/>
      <c r="F211" s="76"/>
      <c r="G211" s="76"/>
      <c r="H211" s="76"/>
    </row>
    <row r="212">
      <c r="B212" s="76"/>
      <c r="C212" s="76"/>
      <c r="D212" s="76"/>
      <c r="E212" s="76"/>
      <c r="F212" s="76"/>
      <c r="G212" s="76"/>
      <c r="H212" s="76"/>
    </row>
    <row r="213">
      <c r="B213" s="76"/>
      <c r="C213" s="76"/>
      <c r="D213" s="76"/>
      <c r="E213" s="76"/>
      <c r="F213" s="76"/>
      <c r="G213" s="76"/>
      <c r="H213" s="76"/>
    </row>
    <row r="214">
      <c r="B214" s="76"/>
      <c r="C214" s="76"/>
      <c r="D214" s="76"/>
      <c r="E214" s="76"/>
      <c r="F214" s="76"/>
      <c r="G214" s="76"/>
      <c r="H214" s="76"/>
    </row>
    <row r="215">
      <c r="B215" s="76"/>
      <c r="C215" s="76"/>
      <c r="D215" s="76"/>
      <c r="E215" s="76"/>
      <c r="F215" s="76"/>
      <c r="G215" s="76"/>
      <c r="H215" s="76"/>
    </row>
    <row r="216">
      <c r="B216" s="76"/>
      <c r="C216" s="76"/>
      <c r="D216" s="76"/>
      <c r="E216" s="76"/>
      <c r="F216" s="76"/>
      <c r="G216" s="76"/>
      <c r="H216" s="76"/>
    </row>
    <row r="217">
      <c r="B217" s="76"/>
      <c r="C217" s="76"/>
      <c r="D217" s="76"/>
      <c r="E217" s="76"/>
      <c r="F217" s="76"/>
      <c r="G217" s="76"/>
      <c r="H217" s="76"/>
    </row>
    <row r="218">
      <c r="B218" s="76"/>
      <c r="C218" s="76"/>
      <c r="D218" s="76"/>
      <c r="E218" s="76"/>
      <c r="F218" s="76"/>
      <c r="G218" s="76"/>
      <c r="H218" s="76"/>
    </row>
    <row r="219">
      <c r="B219" s="76"/>
      <c r="C219" s="76"/>
      <c r="D219" s="76"/>
      <c r="E219" s="76"/>
      <c r="F219" s="76"/>
      <c r="G219" s="76"/>
      <c r="H219" s="76"/>
    </row>
    <row r="220">
      <c r="B220" s="76"/>
      <c r="C220" s="76"/>
      <c r="D220" s="76"/>
      <c r="E220" s="76"/>
      <c r="F220" s="76"/>
      <c r="G220" s="76"/>
      <c r="H220" s="76"/>
    </row>
    <row r="221">
      <c r="B221" s="76"/>
      <c r="C221" s="76"/>
      <c r="D221" s="76"/>
      <c r="E221" s="76"/>
      <c r="F221" s="76"/>
      <c r="G221" s="76"/>
      <c r="H221" s="76"/>
    </row>
    <row r="222">
      <c r="B222" s="76"/>
      <c r="C222" s="76"/>
      <c r="D222" s="76"/>
      <c r="E222" s="76"/>
      <c r="F222" s="76"/>
      <c r="G222" s="76"/>
      <c r="H222" s="76"/>
    </row>
    <row r="223">
      <c r="B223" s="76"/>
      <c r="C223" s="76"/>
      <c r="D223" s="76"/>
      <c r="E223" s="76"/>
      <c r="F223" s="76"/>
      <c r="G223" s="76"/>
      <c r="H223" s="76"/>
    </row>
    <row r="224">
      <c r="B224" s="76"/>
      <c r="C224" s="76"/>
      <c r="D224" s="76"/>
      <c r="E224" s="76"/>
      <c r="F224" s="76"/>
      <c r="G224" s="76"/>
      <c r="H224" s="76"/>
    </row>
    <row r="225">
      <c r="B225" s="76"/>
      <c r="C225" s="76"/>
      <c r="D225" s="76"/>
      <c r="E225" s="76"/>
      <c r="F225" s="76"/>
      <c r="G225" s="76"/>
      <c r="H225" s="76"/>
    </row>
    <row r="226">
      <c r="B226" s="76"/>
      <c r="C226" s="76"/>
      <c r="D226" s="76"/>
      <c r="E226" s="76"/>
      <c r="F226" s="76"/>
      <c r="G226" s="76"/>
      <c r="H226" s="76"/>
    </row>
    <row r="227">
      <c r="B227" s="76"/>
      <c r="C227" s="76"/>
      <c r="D227" s="76"/>
      <c r="E227" s="76"/>
      <c r="F227" s="76"/>
      <c r="G227" s="76"/>
      <c r="H227" s="76"/>
    </row>
    <row r="228">
      <c r="B228" s="76"/>
      <c r="C228" s="76"/>
      <c r="D228" s="76"/>
      <c r="E228" s="76"/>
      <c r="F228" s="76"/>
      <c r="G228" s="76"/>
      <c r="H228" s="76"/>
    </row>
    <row r="229">
      <c r="B229" s="76"/>
      <c r="C229" s="76"/>
      <c r="D229" s="76"/>
      <c r="E229" s="76"/>
      <c r="F229" s="76"/>
      <c r="G229" s="76"/>
      <c r="H229" s="76"/>
    </row>
    <row r="230">
      <c r="B230" s="76"/>
      <c r="C230" s="76"/>
      <c r="D230" s="76"/>
      <c r="E230" s="76"/>
      <c r="F230" s="76"/>
      <c r="G230" s="76"/>
      <c r="H230" s="76"/>
    </row>
    <row r="231">
      <c r="B231" s="76"/>
      <c r="C231" s="76"/>
      <c r="D231" s="76"/>
      <c r="E231" s="76"/>
      <c r="F231" s="76"/>
      <c r="G231" s="76"/>
      <c r="H231" s="76"/>
    </row>
    <row r="232">
      <c r="B232" s="76"/>
      <c r="C232" s="76"/>
      <c r="D232" s="76"/>
      <c r="E232" s="76"/>
      <c r="F232" s="76"/>
      <c r="G232" s="76"/>
      <c r="H232" s="76"/>
    </row>
    <row r="233">
      <c r="B233" s="76"/>
      <c r="C233" s="76"/>
      <c r="D233" s="76"/>
      <c r="E233" s="76"/>
      <c r="F233" s="76"/>
      <c r="G233" s="76"/>
      <c r="H233" s="76"/>
    </row>
    <row r="234">
      <c r="B234" s="76"/>
      <c r="C234" s="76"/>
      <c r="D234" s="76"/>
      <c r="E234" s="76"/>
      <c r="F234" s="76"/>
      <c r="G234" s="76"/>
      <c r="H234" s="76"/>
    </row>
    <row r="235">
      <c r="B235" s="76"/>
      <c r="C235" s="76"/>
      <c r="D235" s="76"/>
      <c r="E235" s="76"/>
      <c r="F235" s="76"/>
      <c r="G235" s="76"/>
      <c r="H235" s="76"/>
    </row>
    <row r="236">
      <c r="B236" s="76"/>
      <c r="C236" s="76"/>
      <c r="D236" s="76"/>
      <c r="E236" s="76"/>
      <c r="F236" s="76"/>
      <c r="G236" s="76"/>
      <c r="H236" s="76"/>
    </row>
    <row r="237">
      <c r="B237" s="76"/>
      <c r="C237" s="76"/>
      <c r="D237" s="76"/>
      <c r="E237" s="76"/>
      <c r="F237" s="76"/>
      <c r="G237" s="76"/>
      <c r="H237" s="76"/>
    </row>
    <row r="238">
      <c r="B238" s="76"/>
      <c r="C238" s="76"/>
      <c r="D238" s="76"/>
      <c r="E238" s="76"/>
      <c r="F238" s="76"/>
      <c r="G238" s="76"/>
      <c r="H238" s="76"/>
    </row>
    <row r="239">
      <c r="B239" s="76"/>
      <c r="C239" s="76"/>
      <c r="D239" s="76"/>
      <c r="E239" s="76"/>
      <c r="F239" s="76"/>
      <c r="G239" s="76"/>
      <c r="H239" s="76"/>
    </row>
    <row r="240">
      <c r="B240" s="76"/>
      <c r="C240" s="76"/>
      <c r="D240" s="76"/>
      <c r="E240" s="76"/>
      <c r="F240" s="76"/>
      <c r="G240" s="76"/>
      <c r="H240" s="76"/>
    </row>
    <row r="241">
      <c r="B241" s="76"/>
      <c r="C241" s="76"/>
      <c r="D241" s="76"/>
      <c r="E241" s="76"/>
      <c r="F241" s="76"/>
      <c r="G241" s="76"/>
      <c r="H241" s="76"/>
    </row>
    <row r="242">
      <c r="B242" s="76"/>
      <c r="C242" s="76"/>
      <c r="D242" s="76"/>
      <c r="E242" s="76"/>
      <c r="F242" s="76"/>
      <c r="G242" s="76"/>
      <c r="H242" s="76"/>
    </row>
    <row r="243">
      <c r="B243" s="76"/>
      <c r="C243" s="76"/>
      <c r="D243" s="76"/>
      <c r="E243" s="76"/>
      <c r="F243" s="76"/>
      <c r="G243" s="76"/>
      <c r="H243" s="76"/>
    </row>
    <row r="244">
      <c r="B244" s="76"/>
      <c r="C244" s="76"/>
      <c r="D244" s="76"/>
      <c r="E244" s="76"/>
      <c r="F244" s="76"/>
      <c r="G244" s="76"/>
      <c r="H244" s="76"/>
    </row>
    <row r="245">
      <c r="B245" s="76"/>
      <c r="C245" s="76"/>
      <c r="D245" s="76"/>
      <c r="E245" s="76"/>
      <c r="F245" s="76"/>
      <c r="G245" s="76"/>
      <c r="H245" s="76"/>
    </row>
    <row r="246">
      <c r="B246" s="76"/>
      <c r="C246" s="76"/>
      <c r="D246" s="76"/>
      <c r="E246" s="76"/>
      <c r="F246" s="76"/>
      <c r="G246" s="76"/>
      <c r="H246" s="76"/>
    </row>
    <row r="247">
      <c r="B247" s="76"/>
      <c r="C247" s="76"/>
      <c r="D247" s="76"/>
      <c r="E247" s="76"/>
      <c r="F247" s="76"/>
      <c r="G247" s="76"/>
      <c r="H247" s="76"/>
    </row>
    <row r="248">
      <c r="B248" s="76"/>
      <c r="C248" s="76"/>
      <c r="D248" s="76"/>
      <c r="E248" s="76"/>
      <c r="F248" s="76"/>
      <c r="G248" s="76"/>
      <c r="H248" s="76"/>
    </row>
    <row r="249">
      <c r="B249" s="76"/>
      <c r="C249" s="76"/>
      <c r="D249" s="76"/>
      <c r="E249" s="76"/>
      <c r="F249" s="76"/>
      <c r="G249" s="76"/>
      <c r="H249" s="76"/>
    </row>
    <row r="250">
      <c r="B250" s="76"/>
      <c r="C250" s="76"/>
      <c r="D250" s="76"/>
      <c r="E250" s="76"/>
      <c r="F250" s="76"/>
      <c r="G250" s="76"/>
      <c r="H250" s="76"/>
    </row>
    <row r="251">
      <c r="B251" s="76"/>
      <c r="C251" s="76"/>
      <c r="D251" s="76"/>
      <c r="E251" s="76"/>
      <c r="F251" s="76"/>
      <c r="G251" s="76"/>
      <c r="H251" s="76"/>
    </row>
    <row r="252">
      <c r="B252" s="76"/>
      <c r="C252" s="76"/>
      <c r="D252" s="76"/>
      <c r="E252" s="76"/>
      <c r="F252" s="76"/>
      <c r="G252" s="76"/>
      <c r="H252" s="76"/>
    </row>
    <row r="253">
      <c r="B253" s="76"/>
      <c r="C253" s="76"/>
      <c r="D253" s="76"/>
      <c r="E253" s="76"/>
      <c r="F253" s="76"/>
      <c r="G253" s="76"/>
      <c r="H253" s="76"/>
    </row>
    <row r="254">
      <c r="B254" s="76"/>
      <c r="C254" s="76"/>
      <c r="D254" s="76"/>
      <c r="E254" s="76"/>
      <c r="F254" s="76"/>
      <c r="G254" s="76"/>
      <c r="H254" s="76"/>
    </row>
    <row r="255">
      <c r="B255" s="76"/>
      <c r="C255" s="76"/>
      <c r="D255" s="76"/>
      <c r="E255" s="76"/>
      <c r="F255" s="76"/>
      <c r="G255" s="76"/>
      <c r="H255" s="76"/>
    </row>
    <row r="256">
      <c r="B256" s="76"/>
      <c r="C256" s="76"/>
      <c r="D256" s="76"/>
      <c r="E256" s="76"/>
      <c r="F256" s="76"/>
      <c r="G256" s="76"/>
      <c r="H256" s="76"/>
    </row>
    <row r="257">
      <c r="B257" s="76"/>
      <c r="C257" s="76"/>
      <c r="D257" s="76"/>
      <c r="E257" s="76"/>
      <c r="F257" s="76"/>
      <c r="G257" s="76"/>
      <c r="H257" s="76"/>
    </row>
    <row r="258">
      <c r="B258" s="76"/>
      <c r="C258" s="76"/>
      <c r="D258" s="76"/>
      <c r="E258" s="76"/>
      <c r="F258" s="76"/>
      <c r="G258" s="76"/>
      <c r="H258" s="76"/>
    </row>
    <row r="259">
      <c r="B259" s="76"/>
      <c r="C259" s="76"/>
      <c r="D259" s="76"/>
      <c r="E259" s="76"/>
      <c r="F259" s="76"/>
      <c r="G259" s="76"/>
      <c r="H259" s="76"/>
    </row>
    <row r="260">
      <c r="B260" s="76"/>
      <c r="C260" s="76"/>
      <c r="D260" s="76"/>
      <c r="E260" s="76"/>
      <c r="F260" s="76"/>
      <c r="G260" s="76"/>
      <c r="H260" s="76"/>
    </row>
    <row r="261">
      <c r="B261" s="76"/>
      <c r="C261" s="76"/>
      <c r="D261" s="76"/>
      <c r="E261" s="76"/>
      <c r="F261" s="76"/>
      <c r="G261" s="76"/>
      <c r="H261" s="76"/>
    </row>
    <row r="262">
      <c r="B262" s="76"/>
      <c r="C262" s="76"/>
      <c r="D262" s="76"/>
      <c r="E262" s="76"/>
      <c r="F262" s="76"/>
      <c r="G262" s="76"/>
      <c r="H262" s="76"/>
    </row>
    <row r="263">
      <c r="B263" s="76"/>
      <c r="C263" s="76"/>
      <c r="D263" s="76"/>
      <c r="E263" s="76"/>
      <c r="F263" s="76"/>
      <c r="G263" s="76"/>
      <c r="H263" s="76"/>
    </row>
    <row r="264">
      <c r="B264" s="76"/>
      <c r="C264" s="76"/>
      <c r="D264" s="76"/>
      <c r="E264" s="76"/>
      <c r="F264" s="76"/>
      <c r="G264" s="76"/>
      <c r="H264" s="76"/>
    </row>
    <row r="265">
      <c r="B265" s="76"/>
      <c r="C265" s="76"/>
      <c r="D265" s="76"/>
      <c r="E265" s="76"/>
      <c r="F265" s="76"/>
      <c r="G265" s="76"/>
      <c r="H265" s="76"/>
    </row>
    <row r="266">
      <c r="B266" s="76"/>
      <c r="C266" s="76"/>
      <c r="D266" s="76"/>
      <c r="E266" s="76"/>
      <c r="F266" s="76"/>
      <c r="G266" s="76"/>
      <c r="H266" s="76"/>
    </row>
    <row r="267">
      <c r="B267" s="76"/>
      <c r="C267" s="76"/>
      <c r="D267" s="76"/>
      <c r="E267" s="76"/>
      <c r="F267" s="76"/>
      <c r="G267" s="76"/>
      <c r="H267" s="76"/>
    </row>
    <row r="268">
      <c r="B268" s="76"/>
      <c r="C268" s="76"/>
      <c r="D268" s="76"/>
      <c r="E268" s="76"/>
      <c r="F268" s="76"/>
      <c r="G268" s="76"/>
      <c r="H268" s="76"/>
    </row>
    <row r="269">
      <c r="B269" s="76"/>
      <c r="C269" s="76"/>
      <c r="D269" s="76"/>
      <c r="E269" s="76"/>
      <c r="F269" s="76"/>
      <c r="G269" s="76"/>
      <c r="H269" s="76"/>
    </row>
    <row r="270">
      <c r="B270" s="76"/>
      <c r="C270" s="76"/>
      <c r="D270" s="76"/>
      <c r="E270" s="76"/>
      <c r="F270" s="76"/>
      <c r="G270" s="76"/>
      <c r="H270" s="76"/>
    </row>
    <row r="271">
      <c r="B271" s="76"/>
      <c r="C271" s="76"/>
      <c r="D271" s="76"/>
      <c r="E271" s="76"/>
      <c r="F271" s="76"/>
      <c r="G271" s="76"/>
      <c r="H271" s="76"/>
    </row>
    <row r="272">
      <c r="B272" s="76"/>
      <c r="C272" s="76"/>
      <c r="D272" s="76"/>
      <c r="E272" s="76"/>
      <c r="F272" s="76"/>
      <c r="G272" s="76"/>
      <c r="H272" s="76"/>
    </row>
    <row r="273">
      <c r="B273" s="76"/>
      <c r="C273" s="76"/>
      <c r="D273" s="76"/>
      <c r="E273" s="76"/>
      <c r="F273" s="76"/>
      <c r="G273" s="76"/>
      <c r="H273" s="76"/>
    </row>
    <row r="274">
      <c r="B274" s="76"/>
      <c r="C274" s="76"/>
      <c r="D274" s="76"/>
      <c r="E274" s="76"/>
      <c r="F274" s="76"/>
      <c r="G274" s="76"/>
      <c r="H274" s="76"/>
    </row>
    <row r="275">
      <c r="B275" s="76"/>
      <c r="C275" s="76"/>
      <c r="D275" s="76"/>
      <c r="E275" s="76"/>
      <c r="F275" s="76"/>
      <c r="G275" s="76"/>
      <c r="H275" s="76"/>
    </row>
    <row r="276">
      <c r="B276" s="76"/>
      <c r="C276" s="76"/>
      <c r="D276" s="76"/>
      <c r="E276" s="76"/>
      <c r="F276" s="76"/>
      <c r="G276" s="76"/>
      <c r="H276" s="76"/>
    </row>
    <row r="277">
      <c r="B277" s="76"/>
      <c r="C277" s="76"/>
      <c r="D277" s="76"/>
      <c r="E277" s="76"/>
      <c r="F277" s="76"/>
      <c r="G277" s="76"/>
      <c r="H277" s="76"/>
    </row>
    <row r="278">
      <c r="B278" s="76"/>
      <c r="C278" s="76"/>
      <c r="D278" s="76"/>
      <c r="E278" s="76"/>
      <c r="F278" s="76"/>
      <c r="G278" s="76"/>
      <c r="H278" s="76"/>
    </row>
    <row r="279">
      <c r="B279" s="76"/>
      <c r="C279" s="76"/>
      <c r="D279" s="76"/>
      <c r="E279" s="76"/>
      <c r="F279" s="76"/>
      <c r="G279" s="76"/>
      <c r="H279" s="76"/>
    </row>
    <row r="280">
      <c r="B280" s="76"/>
      <c r="C280" s="76"/>
      <c r="D280" s="76"/>
      <c r="E280" s="76"/>
      <c r="F280" s="76"/>
      <c r="G280" s="76"/>
      <c r="H280" s="76"/>
    </row>
    <row r="281">
      <c r="B281" s="76"/>
      <c r="C281" s="76"/>
      <c r="D281" s="76"/>
      <c r="E281" s="76"/>
      <c r="F281" s="76"/>
      <c r="G281" s="76"/>
      <c r="H281" s="76"/>
    </row>
    <row r="282">
      <c r="B282" s="76"/>
      <c r="C282" s="76"/>
      <c r="D282" s="76"/>
      <c r="E282" s="76"/>
      <c r="F282" s="76"/>
      <c r="G282" s="76"/>
      <c r="H282" s="76"/>
    </row>
    <row r="283">
      <c r="B283" s="76"/>
      <c r="C283" s="76"/>
      <c r="D283" s="76"/>
      <c r="E283" s="76"/>
      <c r="F283" s="76"/>
      <c r="G283" s="76"/>
      <c r="H283" s="76"/>
    </row>
    <row r="284">
      <c r="B284" s="76"/>
      <c r="C284" s="76"/>
      <c r="D284" s="76"/>
      <c r="E284" s="76"/>
      <c r="F284" s="76"/>
      <c r="G284" s="76"/>
      <c r="H284" s="76"/>
    </row>
    <row r="285">
      <c r="B285" s="76"/>
      <c r="C285" s="76"/>
      <c r="D285" s="76"/>
      <c r="E285" s="76"/>
      <c r="F285" s="76"/>
      <c r="G285" s="76"/>
      <c r="H285" s="76"/>
    </row>
    <row r="286">
      <c r="B286" s="76"/>
      <c r="C286" s="76"/>
      <c r="D286" s="76"/>
      <c r="E286" s="76"/>
      <c r="F286" s="76"/>
      <c r="G286" s="76"/>
      <c r="H286" s="76"/>
    </row>
    <row r="287">
      <c r="B287" s="76"/>
      <c r="C287" s="76"/>
      <c r="D287" s="76"/>
      <c r="E287" s="76"/>
      <c r="F287" s="76"/>
      <c r="G287" s="76"/>
      <c r="H287" s="76"/>
    </row>
    <row r="288">
      <c r="B288" s="76"/>
      <c r="C288" s="76"/>
      <c r="D288" s="76"/>
      <c r="E288" s="76"/>
      <c r="F288" s="76"/>
      <c r="G288" s="76"/>
      <c r="H288" s="76"/>
    </row>
    <row r="289">
      <c r="B289" s="76"/>
      <c r="C289" s="76"/>
      <c r="D289" s="76"/>
      <c r="E289" s="76"/>
      <c r="F289" s="76"/>
      <c r="G289" s="76"/>
      <c r="H289" s="76"/>
    </row>
    <row r="290">
      <c r="B290" s="76"/>
      <c r="C290" s="76"/>
      <c r="D290" s="76"/>
      <c r="E290" s="76"/>
      <c r="F290" s="76"/>
      <c r="G290" s="76"/>
      <c r="H290" s="76"/>
    </row>
    <row r="291">
      <c r="B291" s="76"/>
      <c r="C291" s="76"/>
      <c r="D291" s="76"/>
      <c r="E291" s="76"/>
      <c r="F291" s="76"/>
      <c r="G291" s="76"/>
      <c r="H291" s="76"/>
    </row>
    <row r="292">
      <c r="B292" s="76"/>
      <c r="C292" s="76"/>
      <c r="D292" s="76"/>
      <c r="E292" s="76"/>
      <c r="F292" s="76"/>
      <c r="G292" s="76"/>
      <c r="H292" s="76"/>
    </row>
    <row r="293">
      <c r="B293" s="76"/>
      <c r="C293" s="76"/>
      <c r="D293" s="76"/>
      <c r="E293" s="76"/>
      <c r="F293" s="76"/>
      <c r="G293" s="76"/>
      <c r="H293" s="76"/>
    </row>
    <row r="294">
      <c r="B294" s="76"/>
      <c r="C294" s="76"/>
      <c r="D294" s="76"/>
      <c r="E294" s="76"/>
      <c r="F294" s="76"/>
      <c r="G294" s="76"/>
      <c r="H294" s="76"/>
    </row>
    <row r="295">
      <c r="B295" s="76"/>
      <c r="C295" s="76"/>
      <c r="D295" s="76"/>
      <c r="E295" s="76"/>
      <c r="F295" s="76"/>
      <c r="G295" s="76"/>
      <c r="H295" s="76"/>
    </row>
    <row r="296">
      <c r="B296" s="76"/>
      <c r="C296" s="76"/>
      <c r="D296" s="76"/>
      <c r="E296" s="76"/>
      <c r="F296" s="76"/>
      <c r="G296" s="76"/>
      <c r="H296" s="76"/>
    </row>
    <row r="297">
      <c r="B297" s="76"/>
      <c r="C297" s="76"/>
      <c r="D297" s="76"/>
      <c r="E297" s="76"/>
      <c r="F297" s="76"/>
      <c r="G297" s="76"/>
      <c r="H297" s="76"/>
    </row>
    <row r="298">
      <c r="B298" s="76"/>
      <c r="C298" s="76"/>
      <c r="D298" s="76"/>
      <c r="E298" s="76"/>
      <c r="F298" s="76"/>
      <c r="G298" s="76"/>
      <c r="H298" s="76"/>
    </row>
    <row r="299">
      <c r="B299" s="76"/>
      <c r="C299" s="76"/>
      <c r="D299" s="76"/>
      <c r="E299" s="76"/>
      <c r="F299" s="76"/>
      <c r="G299" s="76"/>
      <c r="H299" s="76"/>
    </row>
    <row r="300">
      <c r="B300" s="76"/>
      <c r="C300" s="76"/>
      <c r="D300" s="76"/>
      <c r="E300" s="76"/>
      <c r="F300" s="76"/>
      <c r="G300" s="76"/>
      <c r="H300" s="76"/>
    </row>
    <row r="301">
      <c r="B301" s="76"/>
      <c r="C301" s="76"/>
      <c r="D301" s="76"/>
      <c r="E301" s="76"/>
      <c r="F301" s="76"/>
      <c r="G301" s="76"/>
      <c r="H301" s="76"/>
    </row>
    <row r="302">
      <c r="B302" s="76"/>
      <c r="C302" s="76"/>
      <c r="D302" s="76"/>
      <c r="E302" s="76"/>
      <c r="F302" s="76"/>
      <c r="G302" s="76"/>
      <c r="H302" s="76"/>
    </row>
    <row r="303">
      <c r="B303" s="76"/>
      <c r="C303" s="76"/>
      <c r="D303" s="76"/>
      <c r="E303" s="76"/>
      <c r="F303" s="76"/>
      <c r="G303" s="76"/>
      <c r="H303" s="76"/>
    </row>
    <row r="304">
      <c r="B304" s="76"/>
      <c r="C304" s="76"/>
      <c r="D304" s="76"/>
      <c r="E304" s="76"/>
      <c r="F304" s="76"/>
      <c r="G304" s="76"/>
      <c r="H304" s="76"/>
    </row>
    <row r="305">
      <c r="B305" s="76"/>
      <c r="C305" s="76"/>
      <c r="D305" s="76"/>
      <c r="E305" s="76"/>
      <c r="F305" s="76"/>
      <c r="G305" s="76"/>
      <c r="H305" s="76"/>
    </row>
    <row r="306">
      <c r="B306" s="76"/>
      <c r="C306" s="76"/>
      <c r="D306" s="76"/>
      <c r="E306" s="76"/>
      <c r="F306" s="76"/>
      <c r="G306" s="76"/>
      <c r="H306" s="76"/>
    </row>
    <row r="307">
      <c r="B307" s="76"/>
      <c r="C307" s="76"/>
      <c r="D307" s="76"/>
      <c r="E307" s="76"/>
      <c r="F307" s="76"/>
      <c r="G307" s="76"/>
      <c r="H307" s="76"/>
    </row>
    <row r="308">
      <c r="B308" s="76"/>
      <c r="C308" s="76"/>
      <c r="D308" s="76"/>
      <c r="E308" s="76"/>
      <c r="F308" s="76"/>
      <c r="G308" s="76"/>
      <c r="H308" s="76"/>
    </row>
    <row r="309">
      <c r="B309" s="76"/>
      <c r="C309" s="76"/>
      <c r="D309" s="76"/>
      <c r="E309" s="76"/>
      <c r="F309" s="76"/>
      <c r="G309" s="76"/>
      <c r="H309" s="76"/>
    </row>
    <row r="310">
      <c r="B310" s="76"/>
      <c r="C310" s="76"/>
      <c r="D310" s="76"/>
      <c r="E310" s="76"/>
      <c r="F310" s="76"/>
      <c r="G310" s="76"/>
      <c r="H310" s="76"/>
    </row>
    <row r="311">
      <c r="B311" s="76"/>
      <c r="C311" s="76"/>
      <c r="D311" s="76"/>
      <c r="E311" s="76"/>
      <c r="F311" s="76"/>
      <c r="G311" s="76"/>
      <c r="H311" s="76"/>
    </row>
    <row r="312">
      <c r="B312" s="76"/>
      <c r="C312" s="76"/>
      <c r="D312" s="76"/>
      <c r="E312" s="76"/>
      <c r="F312" s="76"/>
      <c r="G312" s="76"/>
      <c r="H312" s="76"/>
    </row>
    <row r="313">
      <c r="B313" s="76"/>
      <c r="C313" s="76"/>
      <c r="D313" s="76"/>
      <c r="E313" s="76"/>
      <c r="F313" s="76"/>
      <c r="G313" s="76"/>
      <c r="H313" s="76"/>
    </row>
    <row r="314">
      <c r="B314" s="76"/>
      <c r="C314" s="76"/>
      <c r="D314" s="76"/>
      <c r="E314" s="76"/>
      <c r="F314" s="76"/>
      <c r="G314" s="76"/>
      <c r="H314" s="76"/>
    </row>
    <row r="315">
      <c r="B315" s="76"/>
      <c r="C315" s="76"/>
      <c r="D315" s="76"/>
      <c r="E315" s="76"/>
      <c r="F315" s="76"/>
      <c r="G315" s="76"/>
      <c r="H315" s="76"/>
    </row>
    <row r="316">
      <c r="B316" s="76"/>
      <c r="C316" s="76"/>
      <c r="D316" s="76"/>
      <c r="E316" s="76"/>
      <c r="F316" s="76"/>
      <c r="G316" s="76"/>
      <c r="H316" s="76"/>
    </row>
    <row r="317">
      <c r="B317" s="76"/>
      <c r="C317" s="76"/>
      <c r="D317" s="76"/>
      <c r="E317" s="76"/>
      <c r="F317" s="76"/>
      <c r="G317" s="76"/>
      <c r="H317" s="76"/>
    </row>
    <row r="318">
      <c r="B318" s="76"/>
      <c r="C318" s="76"/>
      <c r="D318" s="76"/>
      <c r="E318" s="76"/>
      <c r="F318" s="76"/>
      <c r="G318" s="76"/>
      <c r="H318" s="76"/>
    </row>
    <row r="319">
      <c r="B319" s="76"/>
      <c r="C319" s="76"/>
      <c r="D319" s="76"/>
      <c r="E319" s="76"/>
      <c r="F319" s="76"/>
      <c r="G319" s="76"/>
      <c r="H319" s="76"/>
    </row>
    <row r="320">
      <c r="B320" s="76"/>
      <c r="C320" s="76"/>
      <c r="D320" s="76"/>
      <c r="E320" s="76"/>
      <c r="F320" s="76"/>
      <c r="G320" s="76"/>
      <c r="H320" s="76"/>
    </row>
    <row r="321">
      <c r="B321" s="76"/>
      <c r="C321" s="76"/>
      <c r="D321" s="76"/>
      <c r="E321" s="76"/>
      <c r="F321" s="76"/>
      <c r="G321" s="76"/>
      <c r="H321" s="76"/>
    </row>
    <row r="322">
      <c r="B322" s="76"/>
      <c r="C322" s="76"/>
      <c r="D322" s="76"/>
      <c r="E322" s="76"/>
      <c r="F322" s="76"/>
      <c r="G322" s="76"/>
      <c r="H322" s="76"/>
    </row>
    <row r="323">
      <c r="B323" s="76"/>
      <c r="C323" s="76"/>
      <c r="D323" s="76"/>
      <c r="E323" s="76"/>
      <c r="F323" s="76"/>
      <c r="G323" s="76"/>
      <c r="H323" s="76"/>
    </row>
    <row r="324">
      <c r="B324" s="76"/>
      <c r="C324" s="76"/>
      <c r="D324" s="76"/>
      <c r="E324" s="76"/>
      <c r="F324" s="76"/>
      <c r="G324" s="76"/>
      <c r="H324" s="76"/>
    </row>
    <row r="325">
      <c r="B325" s="76"/>
      <c r="C325" s="76"/>
      <c r="D325" s="76"/>
      <c r="E325" s="76"/>
      <c r="F325" s="76"/>
      <c r="G325" s="76"/>
      <c r="H325" s="76"/>
    </row>
    <row r="326">
      <c r="B326" s="76"/>
      <c r="C326" s="76"/>
      <c r="D326" s="76"/>
      <c r="E326" s="76"/>
      <c r="F326" s="76"/>
      <c r="G326" s="76"/>
      <c r="H326" s="76"/>
    </row>
    <row r="327">
      <c r="B327" s="76"/>
      <c r="C327" s="76"/>
      <c r="D327" s="76"/>
      <c r="E327" s="76"/>
      <c r="F327" s="76"/>
      <c r="G327" s="76"/>
      <c r="H327" s="76"/>
    </row>
    <row r="328">
      <c r="B328" s="76"/>
      <c r="C328" s="76"/>
      <c r="D328" s="76"/>
      <c r="E328" s="76"/>
      <c r="F328" s="76"/>
      <c r="G328" s="76"/>
      <c r="H328" s="76"/>
    </row>
    <row r="329">
      <c r="B329" s="76"/>
      <c r="C329" s="76"/>
      <c r="D329" s="76"/>
      <c r="E329" s="76"/>
      <c r="F329" s="76"/>
      <c r="G329" s="76"/>
      <c r="H329" s="76"/>
    </row>
    <row r="330">
      <c r="B330" s="76"/>
      <c r="C330" s="76"/>
      <c r="D330" s="76"/>
      <c r="E330" s="76"/>
      <c r="F330" s="76"/>
      <c r="G330" s="76"/>
      <c r="H330" s="76"/>
    </row>
    <row r="331">
      <c r="B331" s="76"/>
      <c r="C331" s="76"/>
      <c r="D331" s="76"/>
      <c r="E331" s="76"/>
      <c r="F331" s="76"/>
      <c r="G331" s="76"/>
      <c r="H331" s="76"/>
    </row>
    <row r="332">
      <c r="B332" s="76"/>
      <c r="C332" s="76"/>
      <c r="D332" s="76"/>
      <c r="E332" s="76"/>
      <c r="F332" s="76"/>
      <c r="G332" s="76"/>
      <c r="H332" s="76"/>
    </row>
    <row r="333">
      <c r="B333" s="76"/>
      <c r="C333" s="76"/>
      <c r="D333" s="76"/>
      <c r="E333" s="76"/>
      <c r="F333" s="76"/>
      <c r="G333" s="76"/>
      <c r="H333" s="76"/>
    </row>
    <row r="334">
      <c r="B334" s="76"/>
      <c r="C334" s="76"/>
      <c r="D334" s="76"/>
      <c r="E334" s="76"/>
      <c r="F334" s="76"/>
      <c r="G334" s="76"/>
      <c r="H334" s="76"/>
    </row>
    <row r="335">
      <c r="B335" s="76"/>
      <c r="C335" s="76"/>
      <c r="D335" s="76"/>
      <c r="E335" s="76"/>
      <c r="F335" s="76"/>
      <c r="G335" s="76"/>
      <c r="H335" s="76"/>
    </row>
    <row r="336">
      <c r="B336" s="76"/>
      <c r="C336" s="76"/>
      <c r="D336" s="76"/>
      <c r="E336" s="76"/>
      <c r="F336" s="76"/>
      <c r="G336" s="76"/>
      <c r="H336" s="76"/>
    </row>
    <row r="337">
      <c r="B337" s="76"/>
      <c r="C337" s="76"/>
      <c r="D337" s="76"/>
      <c r="E337" s="76"/>
      <c r="F337" s="76"/>
      <c r="G337" s="76"/>
      <c r="H337" s="76"/>
    </row>
    <row r="338">
      <c r="B338" s="76"/>
      <c r="C338" s="76"/>
      <c r="D338" s="76"/>
      <c r="E338" s="76"/>
      <c r="F338" s="76"/>
      <c r="G338" s="76"/>
      <c r="H338" s="76"/>
    </row>
    <row r="339">
      <c r="B339" s="76"/>
      <c r="C339" s="76"/>
      <c r="D339" s="76"/>
      <c r="E339" s="76"/>
      <c r="F339" s="76"/>
      <c r="G339" s="76"/>
      <c r="H339" s="76"/>
    </row>
    <row r="340">
      <c r="B340" s="76"/>
      <c r="C340" s="76"/>
      <c r="D340" s="76"/>
      <c r="E340" s="76"/>
      <c r="F340" s="76"/>
      <c r="G340" s="76"/>
      <c r="H340" s="76"/>
    </row>
    <row r="341">
      <c r="B341" s="76"/>
      <c r="C341" s="76"/>
      <c r="D341" s="76"/>
      <c r="E341" s="76"/>
      <c r="F341" s="76"/>
      <c r="G341" s="76"/>
      <c r="H341" s="76"/>
    </row>
    <row r="342">
      <c r="B342" s="76"/>
      <c r="C342" s="76"/>
      <c r="D342" s="76"/>
      <c r="E342" s="76"/>
      <c r="F342" s="76"/>
      <c r="G342" s="76"/>
      <c r="H342" s="76"/>
    </row>
    <row r="343">
      <c r="B343" s="76"/>
      <c r="C343" s="76"/>
      <c r="D343" s="76"/>
      <c r="E343" s="76"/>
      <c r="F343" s="76"/>
      <c r="G343" s="76"/>
      <c r="H343" s="76"/>
    </row>
    <row r="344">
      <c r="B344" s="76"/>
      <c r="C344" s="76"/>
      <c r="D344" s="76"/>
      <c r="E344" s="76"/>
      <c r="F344" s="76"/>
      <c r="G344" s="76"/>
      <c r="H344" s="76"/>
    </row>
    <row r="345">
      <c r="B345" s="76"/>
      <c r="C345" s="76"/>
      <c r="D345" s="76"/>
      <c r="E345" s="76"/>
      <c r="F345" s="76"/>
      <c r="G345" s="76"/>
      <c r="H345" s="76"/>
    </row>
    <row r="346">
      <c r="B346" s="76"/>
      <c r="C346" s="76"/>
      <c r="D346" s="76"/>
      <c r="E346" s="76"/>
      <c r="F346" s="76"/>
      <c r="G346" s="76"/>
      <c r="H346" s="76"/>
    </row>
    <row r="347">
      <c r="B347" s="76"/>
      <c r="C347" s="76"/>
      <c r="D347" s="76"/>
      <c r="E347" s="76"/>
      <c r="F347" s="76"/>
      <c r="G347" s="76"/>
      <c r="H347" s="76"/>
    </row>
    <row r="348">
      <c r="B348" s="76"/>
      <c r="C348" s="76"/>
      <c r="D348" s="76"/>
      <c r="E348" s="76"/>
      <c r="F348" s="76"/>
      <c r="G348" s="76"/>
      <c r="H348" s="76"/>
    </row>
    <row r="349">
      <c r="B349" s="76"/>
      <c r="C349" s="76"/>
      <c r="D349" s="76"/>
      <c r="E349" s="76"/>
      <c r="F349" s="76"/>
      <c r="G349" s="76"/>
      <c r="H349" s="76"/>
    </row>
    <row r="350">
      <c r="B350" s="76"/>
      <c r="C350" s="76"/>
      <c r="D350" s="76"/>
      <c r="E350" s="76"/>
      <c r="F350" s="76"/>
      <c r="G350" s="76"/>
      <c r="H350" s="76"/>
    </row>
    <row r="351">
      <c r="B351" s="76"/>
      <c r="C351" s="76"/>
      <c r="D351" s="76"/>
      <c r="E351" s="76"/>
      <c r="F351" s="76"/>
      <c r="G351" s="76"/>
      <c r="H351" s="76"/>
    </row>
    <row r="352">
      <c r="B352" s="76"/>
      <c r="C352" s="76"/>
      <c r="D352" s="76"/>
      <c r="E352" s="76"/>
      <c r="F352" s="76"/>
      <c r="G352" s="76"/>
      <c r="H352" s="76"/>
    </row>
    <row r="353">
      <c r="B353" s="76"/>
      <c r="C353" s="76"/>
      <c r="D353" s="76"/>
      <c r="E353" s="76"/>
      <c r="F353" s="76"/>
      <c r="G353" s="76"/>
      <c r="H353" s="76"/>
    </row>
    <row r="354">
      <c r="B354" s="76"/>
      <c r="C354" s="76"/>
      <c r="D354" s="76"/>
      <c r="E354" s="76"/>
      <c r="F354" s="76"/>
      <c r="G354" s="76"/>
      <c r="H354" s="76"/>
    </row>
    <row r="355">
      <c r="B355" s="76"/>
      <c r="C355" s="76"/>
      <c r="D355" s="76"/>
      <c r="E355" s="76"/>
      <c r="F355" s="76"/>
      <c r="G355" s="76"/>
      <c r="H355" s="76"/>
    </row>
    <row r="356">
      <c r="B356" s="76"/>
      <c r="C356" s="76"/>
      <c r="D356" s="76"/>
      <c r="E356" s="76"/>
      <c r="F356" s="76"/>
      <c r="G356" s="76"/>
      <c r="H356" s="76"/>
    </row>
    <row r="357">
      <c r="B357" s="76"/>
      <c r="C357" s="76"/>
      <c r="D357" s="76"/>
      <c r="E357" s="76"/>
      <c r="F357" s="76"/>
      <c r="G357" s="76"/>
      <c r="H357" s="76"/>
    </row>
    <row r="358">
      <c r="B358" s="76"/>
      <c r="C358" s="76"/>
      <c r="D358" s="76"/>
      <c r="E358" s="76"/>
      <c r="F358" s="76"/>
      <c r="G358" s="76"/>
      <c r="H358" s="76"/>
    </row>
    <row r="359">
      <c r="B359" s="76"/>
      <c r="C359" s="76"/>
      <c r="D359" s="76"/>
      <c r="E359" s="76"/>
      <c r="F359" s="76"/>
      <c r="G359" s="76"/>
      <c r="H359" s="76"/>
    </row>
    <row r="360">
      <c r="B360" s="76"/>
      <c r="C360" s="76"/>
      <c r="D360" s="76"/>
      <c r="E360" s="76"/>
      <c r="F360" s="76"/>
      <c r="G360" s="76"/>
      <c r="H360" s="76"/>
    </row>
    <row r="361">
      <c r="B361" s="76"/>
      <c r="C361" s="76"/>
      <c r="D361" s="76"/>
      <c r="E361" s="76"/>
      <c r="F361" s="76"/>
      <c r="G361" s="76"/>
      <c r="H361" s="76"/>
    </row>
    <row r="362">
      <c r="B362" s="76"/>
      <c r="C362" s="76"/>
      <c r="D362" s="76"/>
      <c r="E362" s="76"/>
      <c r="F362" s="76"/>
      <c r="G362" s="76"/>
      <c r="H362" s="76"/>
    </row>
    <row r="363">
      <c r="B363" s="76"/>
      <c r="C363" s="76"/>
      <c r="D363" s="76"/>
      <c r="E363" s="76"/>
      <c r="F363" s="76"/>
      <c r="G363" s="76"/>
      <c r="H363" s="76"/>
    </row>
    <row r="364">
      <c r="B364" s="76"/>
      <c r="C364" s="76"/>
      <c r="D364" s="76"/>
      <c r="E364" s="76"/>
      <c r="F364" s="76"/>
      <c r="G364" s="76"/>
      <c r="H364" s="76"/>
    </row>
    <row r="365">
      <c r="B365" s="76"/>
      <c r="C365" s="76"/>
      <c r="D365" s="76"/>
      <c r="E365" s="76"/>
      <c r="F365" s="76"/>
      <c r="G365" s="76"/>
      <c r="H365" s="76"/>
    </row>
    <row r="366">
      <c r="B366" s="76"/>
      <c r="C366" s="76"/>
      <c r="D366" s="76"/>
      <c r="E366" s="76"/>
      <c r="F366" s="76"/>
      <c r="G366" s="76"/>
      <c r="H366" s="76"/>
    </row>
    <row r="367">
      <c r="B367" s="76"/>
      <c r="C367" s="76"/>
      <c r="D367" s="76"/>
      <c r="E367" s="76"/>
      <c r="F367" s="76"/>
      <c r="G367" s="76"/>
      <c r="H367" s="76"/>
    </row>
    <row r="368">
      <c r="B368" s="76"/>
      <c r="C368" s="76"/>
      <c r="D368" s="76"/>
      <c r="E368" s="76"/>
      <c r="F368" s="76"/>
      <c r="G368" s="76"/>
      <c r="H368" s="76"/>
    </row>
    <row r="369">
      <c r="B369" s="76"/>
      <c r="C369" s="76"/>
      <c r="D369" s="76"/>
      <c r="E369" s="76"/>
      <c r="F369" s="76"/>
      <c r="G369" s="76"/>
      <c r="H369" s="76"/>
    </row>
    <row r="370">
      <c r="B370" s="76"/>
      <c r="C370" s="76"/>
      <c r="D370" s="76"/>
      <c r="E370" s="76"/>
      <c r="F370" s="76"/>
      <c r="G370" s="76"/>
      <c r="H370" s="76"/>
    </row>
    <row r="371">
      <c r="B371" s="76"/>
      <c r="C371" s="76"/>
      <c r="D371" s="76"/>
      <c r="E371" s="76"/>
      <c r="F371" s="76"/>
      <c r="G371" s="76"/>
      <c r="H371" s="76"/>
    </row>
    <row r="372">
      <c r="B372" s="76"/>
      <c r="C372" s="76"/>
      <c r="D372" s="76"/>
      <c r="E372" s="76"/>
      <c r="F372" s="76"/>
      <c r="G372" s="76"/>
      <c r="H372" s="76"/>
    </row>
    <row r="373">
      <c r="B373" s="76"/>
      <c r="C373" s="76"/>
      <c r="D373" s="76"/>
      <c r="E373" s="76"/>
      <c r="F373" s="76"/>
      <c r="G373" s="76"/>
      <c r="H373" s="76"/>
    </row>
    <row r="374">
      <c r="B374" s="76"/>
      <c r="C374" s="76"/>
      <c r="D374" s="76"/>
      <c r="E374" s="76"/>
      <c r="F374" s="76"/>
      <c r="G374" s="76"/>
      <c r="H374" s="76"/>
    </row>
    <row r="375">
      <c r="B375" s="76"/>
      <c r="C375" s="76"/>
      <c r="D375" s="76"/>
      <c r="E375" s="76"/>
      <c r="F375" s="76"/>
      <c r="G375" s="76"/>
      <c r="H375" s="76"/>
    </row>
    <row r="376">
      <c r="B376" s="76"/>
      <c r="C376" s="76"/>
      <c r="D376" s="76"/>
      <c r="E376" s="76"/>
      <c r="F376" s="76"/>
      <c r="G376" s="76"/>
      <c r="H376" s="76"/>
    </row>
    <row r="377">
      <c r="B377" s="76"/>
      <c r="C377" s="76"/>
      <c r="D377" s="76"/>
      <c r="E377" s="76"/>
      <c r="F377" s="76"/>
      <c r="G377" s="76"/>
      <c r="H377" s="76"/>
    </row>
    <row r="378">
      <c r="B378" s="76"/>
      <c r="C378" s="76"/>
      <c r="D378" s="76"/>
      <c r="E378" s="76"/>
      <c r="F378" s="76"/>
      <c r="G378" s="76"/>
      <c r="H378" s="76"/>
    </row>
    <row r="379">
      <c r="B379" s="76"/>
      <c r="C379" s="76"/>
      <c r="D379" s="76"/>
      <c r="E379" s="76"/>
      <c r="F379" s="76"/>
      <c r="G379" s="76"/>
      <c r="H379" s="76"/>
    </row>
    <row r="380">
      <c r="B380" s="76"/>
      <c r="C380" s="76"/>
      <c r="D380" s="76"/>
      <c r="E380" s="76"/>
      <c r="F380" s="76"/>
      <c r="G380" s="76"/>
      <c r="H380" s="76"/>
    </row>
    <row r="381">
      <c r="B381" s="76"/>
      <c r="C381" s="76"/>
      <c r="D381" s="76"/>
      <c r="E381" s="76"/>
      <c r="F381" s="76"/>
      <c r="G381" s="76"/>
      <c r="H381" s="76"/>
    </row>
    <row r="382">
      <c r="B382" s="76"/>
      <c r="C382" s="76"/>
      <c r="D382" s="76"/>
      <c r="E382" s="76"/>
      <c r="F382" s="76"/>
      <c r="G382" s="76"/>
      <c r="H382" s="76"/>
    </row>
    <row r="383">
      <c r="B383" s="76"/>
      <c r="C383" s="76"/>
      <c r="D383" s="76"/>
      <c r="E383" s="76"/>
      <c r="F383" s="76"/>
      <c r="G383" s="76"/>
      <c r="H383" s="76"/>
    </row>
    <row r="384">
      <c r="B384" s="76"/>
      <c r="C384" s="76"/>
      <c r="D384" s="76"/>
      <c r="E384" s="76"/>
      <c r="F384" s="76"/>
      <c r="G384" s="76"/>
      <c r="H384" s="76"/>
    </row>
    <row r="385">
      <c r="B385" s="76"/>
      <c r="C385" s="76"/>
      <c r="D385" s="76"/>
      <c r="E385" s="76"/>
      <c r="F385" s="76"/>
      <c r="G385" s="76"/>
      <c r="H385" s="76"/>
    </row>
    <row r="386">
      <c r="B386" s="76"/>
      <c r="C386" s="76"/>
      <c r="D386" s="76"/>
      <c r="E386" s="76"/>
      <c r="F386" s="76"/>
      <c r="G386" s="76"/>
      <c r="H386" s="76"/>
    </row>
    <row r="387">
      <c r="B387" s="76"/>
      <c r="C387" s="76"/>
      <c r="D387" s="76"/>
      <c r="E387" s="76"/>
      <c r="F387" s="76"/>
      <c r="G387" s="76"/>
      <c r="H387" s="76"/>
    </row>
    <row r="388">
      <c r="B388" s="76"/>
      <c r="C388" s="76"/>
      <c r="D388" s="76"/>
      <c r="E388" s="76"/>
      <c r="F388" s="76"/>
      <c r="G388" s="76"/>
      <c r="H388" s="76"/>
    </row>
    <row r="389">
      <c r="B389" s="76"/>
      <c r="C389" s="76"/>
      <c r="D389" s="76"/>
      <c r="E389" s="76"/>
      <c r="F389" s="76"/>
      <c r="G389" s="76"/>
      <c r="H389" s="76"/>
    </row>
    <row r="390">
      <c r="B390" s="76"/>
      <c r="C390" s="76"/>
      <c r="D390" s="76"/>
      <c r="E390" s="76"/>
      <c r="F390" s="76"/>
      <c r="G390" s="76"/>
      <c r="H390" s="76"/>
    </row>
    <row r="391">
      <c r="B391" s="76"/>
      <c r="C391" s="76"/>
      <c r="D391" s="76"/>
      <c r="E391" s="76"/>
      <c r="F391" s="76"/>
      <c r="G391" s="76"/>
      <c r="H391" s="76"/>
    </row>
    <row r="392">
      <c r="B392" s="76"/>
      <c r="C392" s="76"/>
      <c r="D392" s="76"/>
      <c r="E392" s="76"/>
      <c r="F392" s="76"/>
      <c r="G392" s="76"/>
      <c r="H392" s="76"/>
    </row>
    <row r="393">
      <c r="B393" s="76"/>
      <c r="C393" s="76"/>
      <c r="D393" s="76"/>
      <c r="E393" s="76"/>
      <c r="F393" s="76"/>
      <c r="G393" s="76"/>
      <c r="H393" s="76"/>
    </row>
    <row r="394">
      <c r="B394" s="76"/>
      <c r="C394" s="76"/>
      <c r="D394" s="76"/>
      <c r="E394" s="76"/>
      <c r="F394" s="76"/>
      <c r="G394" s="76"/>
      <c r="H394" s="76"/>
    </row>
    <row r="395">
      <c r="B395" s="76"/>
      <c r="C395" s="76"/>
      <c r="D395" s="76"/>
      <c r="E395" s="76"/>
      <c r="F395" s="76"/>
      <c r="G395" s="76"/>
      <c r="H395" s="76"/>
    </row>
    <row r="396">
      <c r="B396" s="76"/>
      <c r="C396" s="76"/>
      <c r="D396" s="76"/>
      <c r="E396" s="76"/>
      <c r="F396" s="76"/>
      <c r="G396" s="76"/>
      <c r="H396" s="76"/>
    </row>
    <row r="397">
      <c r="B397" s="76"/>
      <c r="C397" s="76"/>
      <c r="D397" s="76"/>
      <c r="E397" s="76"/>
      <c r="F397" s="76"/>
      <c r="G397" s="76"/>
      <c r="H397" s="76"/>
    </row>
    <row r="398">
      <c r="B398" s="76"/>
      <c r="C398" s="76"/>
      <c r="D398" s="76"/>
      <c r="E398" s="76"/>
      <c r="F398" s="76"/>
      <c r="G398" s="76"/>
      <c r="H398" s="76"/>
    </row>
    <row r="399">
      <c r="B399" s="76"/>
      <c r="C399" s="76"/>
      <c r="D399" s="76"/>
      <c r="E399" s="76"/>
      <c r="F399" s="76"/>
      <c r="G399" s="76"/>
      <c r="H399" s="76"/>
    </row>
    <row r="400">
      <c r="B400" s="76"/>
      <c r="C400" s="76"/>
      <c r="D400" s="76"/>
      <c r="E400" s="76"/>
      <c r="F400" s="76"/>
      <c r="G400" s="76"/>
      <c r="H400" s="76"/>
    </row>
    <row r="401">
      <c r="B401" s="76"/>
      <c r="C401" s="76"/>
      <c r="D401" s="76"/>
      <c r="E401" s="76"/>
      <c r="F401" s="76"/>
      <c r="G401" s="76"/>
      <c r="H401" s="76"/>
    </row>
    <row r="402">
      <c r="B402" s="76"/>
      <c r="C402" s="76"/>
      <c r="D402" s="76"/>
      <c r="E402" s="76"/>
      <c r="F402" s="76"/>
      <c r="G402" s="76"/>
      <c r="H402" s="76"/>
    </row>
    <row r="403">
      <c r="B403" s="76"/>
      <c r="C403" s="76"/>
      <c r="D403" s="76"/>
      <c r="E403" s="76"/>
      <c r="F403" s="76"/>
      <c r="G403" s="76"/>
      <c r="H403" s="76"/>
    </row>
    <row r="404">
      <c r="B404" s="76"/>
      <c r="C404" s="76"/>
      <c r="D404" s="76"/>
      <c r="E404" s="76"/>
      <c r="F404" s="76"/>
      <c r="G404" s="76"/>
      <c r="H404" s="76"/>
    </row>
    <row r="405">
      <c r="B405" s="76"/>
      <c r="C405" s="76"/>
      <c r="D405" s="76"/>
      <c r="E405" s="76"/>
      <c r="F405" s="76"/>
      <c r="G405" s="76"/>
      <c r="H405" s="76"/>
    </row>
    <row r="406">
      <c r="B406" s="76"/>
      <c r="C406" s="76"/>
      <c r="D406" s="76"/>
      <c r="E406" s="76"/>
      <c r="F406" s="76"/>
      <c r="G406" s="76"/>
      <c r="H406" s="76"/>
    </row>
    <row r="407">
      <c r="B407" s="76"/>
      <c r="C407" s="76"/>
      <c r="D407" s="76"/>
      <c r="E407" s="76"/>
      <c r="F407" s="76"/>
      <c r="G407" s="76"/>
      <c r="H407" s="76"/>
    </row>
    <row r="408">
      <c r="B408" s="76"/>
      <c r="C408" s="76"/>
      <c r="D408" s="76"/>
      <c r="E408" s="76"/>
      <c r="F408" s="76"/>
      <c r="G408" s="76"/>
      <c r="H408" s="76"/>
    </row>
    <row r="409">
      <c r="B409" s="76"/>
      <c r="C409" s="76"/>
      <c r="D409" s="76"/>
      <c r="E409" s="76"/>
      <c r="F409" s="76"/>
      <c r="G409" s="76"/>
      <c r="H409" s="76"/>
    </row>
    <row r="410">
      <c r="B410" s="76"/>
      <c r="C410" s="76"/>
      <c r="D410" s="76"/>
      <c r="E410" s="76"/>
      <c r="F410" s="76"/>
      <c r="G410" s="76"/>
      <c r="H410" s="76"/>
    </row>
    <row r="411">
      <c r="B411" s="76"/>
      <c r="C411" s="76"/>
      <c r="D411" s="76"/>
      <c r="E411" s="76"/>
      <c r="F411" s="76"/>
      <c r="G411" s="76"/>
      <c r="H411" s="76"/>
    </row>
    <row r="412">
      <c r="B412" s="76"/>
      <c r="C412" s="76"/>
      <c r="D412" s="76"/>
      <c r="E412" s="76"/>
      <c r="F412" s="76"/>
      <c r="G412" s="76"/>
      <c r="H412" s="76"/>
    </row>
    <row r="413">
      <c r="B413" s="76"/>
      <c r="C413" s="76"/>
      <c r="D413" s="76"/>
      <c r="E413" s="76"/>
      <c r="F413" s="76"/>
      <c r="G413" s="76"/>
      <c r="H413" s="76"/>
    </row>
    <row r="414">
      <c r="B414" s="76"/>
      <c r="C414" s="76"/>
      <c r="D414" s="76"/>
      <c r="E414" s="76"/>
      <c r="F414" s="76"/>
      <c r="G414" s="76"/>
      <c r="H414" s="76"/>
    </row>
    <row r="415">
      <c r="B415" s="76"/>
      <c r="C415" s="76"/>
      <c r="D415" s="76"/>
      <c r="E415" s="76"/>
      <c r="F415" s="76"/>
      <c r="G415" s="76"/>
      <c r="H415" s="76"/>
    </row>
    <row r="416">
      <c r="B416" s="76"/>
      <c r="C416" s="76"/>
      <c r="D416" s="76"/>
      <c r="E416" s="76"/>
      <c r="F416" s="76"/>
      <c r="G416" s="76"/>
      <c r="H416" s="76"/>
    </row>
    <row r="417">
      <c r="B417" s="76"/>
      <c r="C417" s="76"/>
      <c r="D417" s="76"/>
      <c r="E417" s="76"/>
      <c r="F417" s="76"/>
      <c r="G417" s="76"/>
      <c r="H417" s="76"/>
    </row>
    <row r="418">
      <c r="B418" s="76"/>
      <c r="C418" s="76"/>
      <c r="D418" s="76"/>
      <c r="E418" s="76"/>
      <c r="F418" s="76"/>
      <c r="G418" s="76"/>
      <c r="H418" s="76"/>
    </row>
    <row r="419">
      <c r="B419" s="76"/>
      <c r="C419" s="76"/>
      <c r="D419" s="76"/>
      <c r="E419" s="76"/>
      <c r="F419" s="76"/>
      <c r="G419" s="76"/>
      <c r="H419" s="76"/>
    </row>
    <row r="420">
      <c r="B420" s="76"/>
      <c r="C420" s="76"/>
      <c r="D420" s="76"/>
      <c r="E420" s="76"/>
      <c r="F420" s="76"/>
      <c r="G420" s="76"/>
      <c r="H420" s="76"/>
    </row>
    <row r="421">
      <c r="B421" s="76"/>
      <c r="C421" s="76"/>
      <c r="D421" s="76"/>
      <c r="E421" s="76"/>
      <c r="F421" s="76"/>
      <c r="G421" s="76"/>
      <c r="H421" s="76"/>
    </row>
    <row r="422">
      <c r="B422" s="76"/>
      <c r="C422" s="76"/>
      <c r="D422" s="76"/>
      <c r="E422" s="76"/>
      <c r="F422" s="76"/>
      <c r="G422" s="76"/>
      <c r="H422" s="76"/>
    </row>
    <row r="423">
      <c r="B423" s="76"/>
      <c r="C423" s="76"/>
      <c r="D423" s="76"/>
      <c r="E423" s="76"/>
      <c r="F423" s="76"/>
      <c r="G423" s="76"/>
      <c r="H423" s="76"/>
    </row>
    <row r="424">
      <c r="B424" s="76"/>
      <c r="C424" s="76"/>
      <c r="D424" s="76"/>
      <c r="E424" s="76"/>
      <c r="F424" s="76"/>
      <c r="G424" s="76"/>
      <c r="H424" s="76"/>
    </row>
    <row r="425">
      <c r="B425" s="76"/>
      <c r="C425" s="76"/>
      <c r="D425" s="76"/>
      <c r="E425" s="76"/>
      <c r="F425" s="76"/>
      <c r="G425" s="76"/>
      <c r="H425" s="76"/>
    </row>
    <row r="426">
      <c r="B426" s="76"/>
      <c r="C426" s="76"/>
      <c r="D426" s="76"/>
      <c r="E426" s="76"/>
      <c r="F426" s="76"/>
      <c r="G426" s="76"/>
      <c r="H426" s="76"/>
    </row>
    <row r="427">
      <c r="B427" s="76"/>
      <c r="C427" s="76"/>
      <c r="D427" s="76"/>
      <c r="E427" s="76"/>
      <c r="F427" s="76"/>
      <c r="G427" s="76"/>
      <c r="H427" s="76"/>
    </row>
    <row r="428">
      <c r="B428" s="76"/>
      <c r="C428" s="76"/>
      <c r="D428" s="76"/>
      <c r="E428" s="76"/>
      <c r="F428" s="76"/>
      <c r="G428" s="76"/>
      <c r="H428" s="76"/>
    </row>
    <row r="429">
      <c r="B429" s="76"/>
      <c r="C429" s="76"/>
      <c r="D429" s="76"/>
      <c r="E429" s="76"/>
      <c r="F429" s="76"/>
      <c r="G429" s="76"/>
      <c r="H429" s="76"/>
    </row>
    <row r="430">
      <c r="B430" s="76"/>
      <c r="C430" s="76"/>
      <c r="D430" s="76"/>
      <c r="E430" s="76"/>
      <c r="F430" s="76"/>
      <c r="G430" s="76"/>
      <c r="H430" s="76"/>
    </row>
    <row r="431">
      <c r="B431" s="76"/>
      <c r="C431" s="76"/>
      <c r="D431" s="76"/>
      <c r="E431" s="76"/>
      <c r="F431" s="76"/>
      <c r="G431" s="76"/>
      <c r="H431" s="76"/>
    </row>
    <row r="432">
      <c r="B432" s="76"/>
      <c r="C432" s="76"/>
      <c r="D432" s="76"/>
      <c r="E432" s="76"/>
      <c r="F432" s="76"/>
      <c r="G432" s="76"/>
      <c r="H432" s="76"/>
    </row>
    <row r="433">
      <c r="B433" s="76"/>
      <c r="C433" s="76"/>
      <c r="D433" s="76"/>
      <c r="E433" s="76"/>
      <c r="F433" s="76"/>
      <c r="G433" s="76"/>
      <c r="H433" s="76"/>
    </row>
    <row r="434">
      <c r="B434" s="76"/>
      <c r="C434" s="76"/>
      <c r="D434" s="76"/>
      <c r="E434" s="76"/>
      <c r="F434" s="76"/>
      <c r="G434" s="76"/>
      <c r="H434" s="76"/>
    </row>
    <row r="435">
      <c r="B435" s="76"/>
      <c r="C435" s="76"/>
      <c r="D435" s="76"/>
      <c r="E435" s="76"/>
      <c r="F435" s="76"/>
      <c r="G435" s="76"/>
      <c r="H435" s="76"/>
    </row>
    <row r="436">
      <c r="B436" s="76"/>
      <c r="C436" s="76"/>
      <c r="D436" s="76"/>
      <c r="E436" s="76"/>
      <c r="F436" s="76"/>
      <c r="G436" s="76"/>
      <c r="H436" s="76"/>
    </row>
    <row r="437">
      <c r="B437" s="76"/>
      <c r="C437" s="76"/>
      <c r="D437" s="76"/>
      <c r="E437" s="76"/>
      <c r="F437" s="76"/>
      <c r="G437" s="76"/>
      <c r="H437" s="76"/>
    </row>
    <row r="438">
      <c r="B438" s="76"/>
      <c r="C438" s="76"/>
      <c r="D438" s="76"/>
      <c r="E438" s="76"/>
      <c r="F438" s="76"/>
      <c r="G438" s="76"/>
      <c r="H438" s="76"/>
    </row>
    <row r="439">
      <c r="B439" s="76"/>
      <c r="C439" s="76"/>
      <c r="D439" s="76"/>
      <c r="E439" s="76"/>
      <c r="F439" s="76"/>
      <c r="G439" s="76"/>
      <c r="H439" s="76"/>
    </row>
    <row r="440">
      <c r="B440" s="76"/>
      <c r="C440" s="76"/>
      <c r="D440" s="76"/>
      <c r="E440" s="76"/>
      <c r="F440" s="76"/>
      <c r="G440" s="76"/>
      <c r="H440" s="76"/>
    </row>
    <row r="441">
      <c r="B441" s="76"/>
      <c r="C441" s="76"/>
      <c r="D441" s="76"/>
      <c r="E441" s="76"/>
      <c r="F441" s="76"/>
      <c r="G441" s="76"/>
      <c r="H441" s="76"/>
    </row>
    <row r="442">
      <c r="B442" s="76"/>
      <c r="C442" s="76"/>
      <c r="D442" s="76"/>
      <c r="E442" s="76"/>
      <c r="F442" s="76"/>
      <c r="G442" s="76"/>
      <c r="H442" s="76"/>
    </row>
    <row r="443">
      <c r="B443" s="76"/>
      <c r="C443" s="76"/>
      <c r="D443" s="76"/>
      <c r="E443" s="76"/>
      <c r="F443" s="76"/>
      <c r="G443" s="76"/>
      <c r="H443" s="76"/>
    </row>
    <row r="444">
      <c r="B444" s="76"/>
      <c r="C444" s="76"/>
      <c r="D444" s="76"/>
      <c r="E444" s="76"/>
      <c r="F444" s="76"/>
      <c r="G444" s="76"/>
      <c r="H444" s="76"/>
    </row>
    <row r="445">
      <c r="B445" s="76"/>
      <c r="C445" s="76"/>
      <c r="D445" s="76"/>
      <c r="E445" s="76"/>
      <c r="F445" s="76"/>
      <c r="G445" s="76"/>
      <c r="H445" s="76"/>
    </row>
    <row r="446">
      <c r="B446" s="76"/>
      <c r="C446" s="76"/>
      <c r="D446" s="76"/>
      <c r="E446" s="76"/>
      <c r="F446" s="76"/>
      <c r="G446" s="76"/>
      <c r="H446" s="76"/>
    </row>
    <row r="447">
      <c r="B447" s="76"/>
      <c r="C447" s="76"/>
      <c r="D447" s="76"/>
      <c r="E447" s="76"/>
      <c r="F447" s="76"/>
      <c r="G447" s="76"/>
      <c r="H447" s="76"/>
    </row>
    <row r="448">
      <c r="B448" s="76"/>
      <c r="C448" s="76"/>
      <c r="D448" s="76"/>
      <c r="E448" s="76"/>
      <c r="F448" s="76"/>
      <c r="G448" s="76"/>
      <c r="H448" s="76"/>
    </row>
    <row r="449">
      <c r="B449" s="76"/>
      <c r="C449" s="76"/>
      <c r="D449" s="76"/>
      <c r="E449" s="76"/>
      <c r="F449" s="76"/>
      <c r="G449" s="76"/>
      <c r="H449" s="76"/>
    </row>
    <row r="450">
      <c r="B450" s="76"/>
      <c r="C450" s="76"/>
      <c r="D450" s="76"/>
      <c r="E450" s="76"/>
      <c r="F450" s="76"/>
      <c r="G450" s="76"/>
      <c r="H450" s="76"/>
    </row>
    <row r="451">
      <c r="B451" s="76"/>
      <c r="C451" s="76"/>
      <c r="D451" s="76"/>
      <c r="E451" s="76"/>
      <c r="F451" s="76"/>
      <c r="G451" s="76"/>
      <c r="H451" s="76"/>
    </row>
    <row r="452">
      <c r="B452" s="76"/>
      <c r="C452" s="76"/>
      <c r="D452" s="76"/>
      <c r="E452" s="76"/>
      <c r="F452" s="76"/>
      <c r="G452" s="76"/>
      <c r="H452" s="76"/>
    </row>
    <row r="453">
      <c r="B453" s="76"/>
      <c r="C453" s="76"/>
      <c r="D453" s="76"/>
      <c r="E453" s="76"/>
      <c r="F453" s="76"/>
      <c r="G453" s="76"/>
      <c r="H453" s="76"/>
    </row>
    <row r="454">
      <c r="B454" s="76"/>
      <c r="C454" s="76"/>
      <c r="D454" s="76"/>
      <c r="E454" s="76"/>
      <c r="F454" s="76"/>
      <c r="G454" s="76"/>
      <c r="H454" s="76"/>
    </row>
    <row r="455">
      <c r="B455" s="76"/>
      <c r="C455" s="76"/>
      <c r="D455" s="76"/>
      <c r="E455" s="76"/>
      <c r="F455" s="76"/>
      <c r="G455" s="76"/>
      <c r="H455" s="76"/>
    </row>
    <row r="456">
      <c r="B456" s="76"/>
      <c r="C456" s="76"/>
      <c r="D456" s="76"/>
      <c r="E456" s="76"/>
      <c r="F456" s="76"/>
      <c r="G456" s="76"/>
      <c r="H456" s="76"/>
    </row>
    <row r="457">
      <c r="B457" s="76"/>
      <c r="C457" s="76"/>
      <c r="D457" s="76"/>
      <c r="E457" s="76"/>
      <c r="F457" s="76"/>
      <c r="G457" s="76"/>
      <c r="H457" s="76"/>
    </row>
    <row r="458">
      <c r="B458" s="76"/>
      <c r="C458" s="76"/>
      <c r="D458" s="76"/>
      <c r="E458" s="76"/>
      <c r="F458" s="76"/>
      <c r="G458" s="76"/>
      <c r="H458" s="76"/>
    </row>
    <row r="459">
      <c r="B459" s="76"/>
      <c r="C459" s="76"/>
      <c r="D459" s="76"/>
      <c r="E459" s="76"/>
      <c r="F459" s="76"/>
      <c r="G459" s="76"/>
      <c r="H459" s="76"/>
    </row>
    <row r="460">
      <c r="B460" s="76"/>
      <c r="C460" s="76"/>
      <c r="D460" s="76"/>
      <c r="E460" s="76"/>
      <c r="F460" s="76"/>
      <c r="G460" s="76"/>
      <c r="H460" s="76"/>
    </row>
    <row r="461">
      <c r="B461" s="76"/>
      <c r="C461" s="76"/>
      <c r="D461" s="76"/>
      <c r="E461" s="76"/>
      <c r="F461" s="76"/>
      <c r="G461" s="76"/>
      <c r="H461" s="76"/>
    </row>
    <row r="462">
      <c r="B462" s="76"/>
      <c r="C462" s="76"/>
      <c r="D462" s="76"/>
      <c r="E462" s="76"/>
      <c r="F462" s="76"/>
      <c r="G462" s="76"/>
      <c r="H462" s="76"/>
    </row>
    <row r="463">
      <c r="B463" s="76"/>
      <c r="C463" s="76"/>
      <c r="D463" s="76"/>
      <c r="E463" s="76"/>
      <c r="F463" s="76"/>
      <c r="G463" s="76"/>
      <c r="H463" s="76"/>
    </row>
    <row r="464">
      <c r="B464" s="76"/>
      <c r="C464" s="76"/>
      <c r="D464" s="76"/>
      <c r="E464" s="76"/>
      <c r="F464" s="76"/>
      <c r="G464" s="76"/>
      <c r="H464" s="76"/>
    </row>
    <row r="465">
      <c r="B465" s="76"/>
      <c r="C465" s="76"/>
      <c r="D465" s="76"/>
      <c r="E465" s="76"/>
      <c r="F465" s="76"/>
      <c r="G465" s="76"/>
      <c r="H465" s="76"/>
    </row>
    <row r="466">
      <c r="B466" s="76"/>
      <c r="C466" s="76"/>
      <c r="D466" s="76"/>
      <c r="E466" s="76"/>
      <c r="F466" s="76"/>
      <c r="G466" s="76"/>
      <c r="H466" s="76"/>
    </row>
    <row r="467">
      <c r="B467" s="76"/>
      <c r="C467" s="76"/>
      <c r="D467" s="76"/>
      <c r="E467" s="76"/>
      <c r="F467" s="76"/>
      <c r="G467" s="76"/>
      <c r="H467" s="76"/>
    </row>
    <row r="468">
      <c r="B468" s="76"/>
      <c r="C468" s="76"/>
      <c r="D468" s="76"/>
      <c r="E468" s="76"/>
      <c r="F468" s="76"/>
      <c r="G468" s="76"/>
      <c r="H468" s="76"/>
    </row>
    <row r="469">
      <c r="B469" s="76"/>
      <c r="C469" s="76"/>
      <c r="D469" s="76"/>
      <c r="E469" s="76"/>
      <c r="F469" s="76"/>
      <c r="G469" s="76"/>
      <c r="H469" s="76"/>
    </row>
    <row r="470">
      <c r="B470" s="76"/>
      <c r="C470" s="76"/>
      <c r="D470" s="76"/>
      <c r="E470" s="76"/>
      <c r="F470" s="76"/>
      <c r="G470" s="76"/>
      <c r="H470" s="76"/>
    </row>
    <row r="471">
      <c r="B471" s="76"/>
      <c r="C471" s="76"/>
      <c r="D471" s="76"/>
      <c r="E471" s="76"/>
      <c r="F471" s="76"/>
      <c r="G471" s="76"/>
      <c r="H471" s="76"/>
    </row>
    <row r="472">
      <c r="B472" s="76"/>
      <c r="C472" s="76"/>
      <c r="D472" s="76"/>
      <c r="E472" s="76"/>
      <c r="F472" s="76"/>
      <c r="G472" s="76"/>
      <c r="H472" s="76"/>
    </row>
    <row r="473">
      <c r="B473" s="76"/>
      <c r="C473" s="76"/>
      <c r="D473" s="76"/>
      <c r="E473" s="76"/>
      <c r="F473" s="76"/>
      <c r="G473" s="76"/>
      <c r="H473" s="76"/>
    </row>
    <row r="474">
      <c r="B474" s="76"/>
      <c r="C474" s="76"/>
      <c r="D474" s="76"/>
      <c r="E474" s="76"/>
      <c r="F474" s="76"/>
      <c r="G474" s="76"/>
      <c r="H474" s="76"/>
    </row>
    <row r="475">
      <c r="B475" s="76"/>
      <c r="C475" s="76"/>
      <c r="D475" s="76"/>
      <c r="E475" s="76"/>
      <c r="F475" s="76"/>
      <c r="G475" s="76"/>
      <c r="H475" s="76"/>
    </row>
    <row r="476">
      <c r="B476" s="76"/>
      <c r="C476" s="76"/>
      <c r="D476" s="76"/>
      <c r="E476" s="76"/>
      <c r="F476" s="76"/>
      <c r="G476" s="76"/>
      <c r="H476" s="76"/>
    </row>
    <row r="477">
      <c r="B477" s="76"/>
      <c r="C477" s="76"/>
      <c r="D477" s="76"/>
      <c r="E477" s="76"/>
      <c r="F477" s="76"/>
      <c r="G477" s="76"/>
      <c r="H477" s="76"/>
    </row>
    <row r="478">
      <c r="B478" s="76"/>
      <c r="C478" s="76"/>
      <c r="D478" s="76"/>
      <c r="E478" s="76"/>
      <c r="F478" s="76"/>
      <c r="G478" s="76"/>
      <c r="H478" s="76"/>
    </row>
    <row r="479">
      <c r="B479" s="76"/>
      <c r="C479" s="76"/>
      <c r="D479" s="76"/>
      <c r="E479" s="76"/>
      <c r="F479" s="76"/>
      <c r="G479" s="76"/>
      <c r="H479" s="76"/>
    </row>
    <row r="480">
      <c r="B480" s="76"/>
      <c r="C480" s="76"/>
      <c r="D480" s="76"/>
      <c r="E480" s="76"/>
      <c r="F480" s="76"/>
      <c r="G480" s="76"/>
      <c r="H480" s="76"/>
    </row>
    <row r="481">
      <c r="B481" s="76"/>
      <c r="C481" s="76"/>
      <c r="D481" s="76"/>
      <c r="E481" s="76"/>
      <c r="F481" s="76"/>
      <c r="G481" s="76"/>
      <c r="H481" s="76"/>
    </row>
    <row r="482">
      <c r="B482" s="76"/>
      <c r="C482" s="76"/>
      <c r="D482" s="76"/>
      <c r="E482" s="76"/>
      <c r="F482" s="76"/>
      <c r="G482" s="76"/>
      <c r="H482" s="76"/>
    </row>
    <row r="483">
      <c r="B483" s="76"/>
      <c r="C483" s="76"/>
      <c r="D483" s="76"/>
      <c r="E483" s="76"/>
      <c r="F483" s="76"/>
      <c r="G483" s="76"/>
      <c r="H483" s="76"/>
    </row>
    <row r="484">
      <c r="B484" s="76"/>
      <c r="C484" s="76"/>
      <c r="D484" s="76"/>
      <c r="E484" s="76"/>
      <c r="F484" s="76"/>
      <c r="G484" s="76"/>
      <c r="H484" s="76"/>
    </row>
    <row r="485">
      <c r="B485" s="76"/>
      <c r="C485" s="76"/>
      <c r="D485" s="76"/>
      <c r="E485" s="76"/>
      <c r="F485" s="76"/>
      <c r="G485" s="76"/>
      <c r="H485" s="76"/>
    </row>
    <row r="486">
      <c r="B486" s="76"/>
      <c r="C486" s="76"/>
      <c r="D486" s="76"/>
      <c r="E486" s="76"/>
      <c r="F486" s="76"/>
      <c r="G486" s="76"/>
      <c r="H486" s="76"/>
    </row>
    <row r="487">
      <c r="B487" s="76"/>
      <c r="C487" s="76"/>
      <c r="D487" s="76"/>
      <c r="E487" s="76"/>
      <c r="F487" s="76"/>
      <c r="G487" s="76"/>
      <c r="H487" s="76"/>
    </row>
    <row r="488">
      <c r="B488" s="76"/>
      <c r="C488" s="76"/>
      <c r="D488" s="76"/>
      <c r="E488" s="76"/>
      <c r="F488" s="76"/>
      <c r="G488" s="76"/>
      <c r="H488" s="76"/>
    </row>
    <row r="489">
      <c r="B489" s="76"/>
      <c r="C489" s="76"/>
      <c r="D489" s="76"/>
      <c r="E489" s="76"/>
      <c r="F489" s="76"/>
      <c r="G489" s="76"/>
      <c r="H489" s="76"/>
    </row>
    <row r="490">
      <c r="B490" s="76"/>
      <c r="C490" s="76"/>
      <c r="D490" s="76"/>
      <c r="E490" s="76"/>
      <c r="F490" s="76"/>
      <c r="G490" s="76"/>
      <c r="H490" s="76"/>
    </row>
    <row r="491">
      <c r="B491" s="76"/>
      <c r="C491" s="76"/>
      <c r="D491" s="76"/>
      <c r="E491" s="76"/>
      <c r="F491" s="76"/>
      <c r="G491" s="76"/>
      <c r="H491" s="76"/>
    </row>
    <row r="492">
      <c r="B492" s="76"/>
      <c r="C492" s="76"/>
      <c r="D492" s="76"/>
      <c r="E492" s="76"/>
      <c r="F492" s="76"/>
      <c r="G492" s="76"/>
      <c r="H492" s="76"/>
    </row>
    <row r="493">
      <c r="B493" s="76"/>
      <c r="C493" s="76"/>
      <c r="D493" s="76"/>
      <c r="E493" s="76"/>
      <c r="F493" s="76"/>
      <c r="G493" s="76"/>
      <c r="H493" s="76"/>
    </row>
    <row r="494">
      <c r="B494" s="76"/>
      <c r="C494" s="76"/>
      <c r="D494" s="76"/>
      <c r="E494" s="76"/>
      <c r="F494" s="76"/>
      <c r="G494" s="76"/>
      <c r="H494" s="76"/>
    </row>
    <row r="495">
      <c r="B495" s="76"/>
      <c r="C495" s="76"/>
      <c r="D495" s="76"/>
      <c r="E495" s="76"/>
      <c r="F495" s="76"/>
      <c r="G495" s="76"/>
      <c r="H495" s="76"/>
    </row>
    <row r="496">
      <c r="B496" s="76"/>
      <c r="C496" s="76"/>
      <c r="D496" s="76"/>
      <c r="E496" s="76"/>
      <c r="F496" s="76"/>
      <c r="G496" s="76"/>
      <c r="H496" s="76"/>
    </row>
    <row r="497">
      <c r="B497" s="76"/>
      <c r="C497" s="76"/>
      <c r="D497" s="76"/>
      <c r="E497" s="76"/>
      <c r="F497" s="76"/>
      <c r="G497" s="76"/>
      <c r="H497" s="76"/>
    </row>
    <row r="498">
      <c r="B498" s="76"/>
      <c r="C498" s="76"/>
      <c r="D498" s="76"/>
      <c r="E498" s="76"/>
      <c r="F498" s="76"/>
      <c r="G498" s="76"/>
      <c r="H498" s="76"/>
    </row>
    <row r="499">
      <c r="B499" s="76"/>
      <c r="C499" s="76"/>
      <c r="D499" s="76"/>
      <c r="E499" s="76"/>
      <c r="F499" s="76"/>
      <c r="G499" s="76"/>
      <c r="H499" s="76"/>
    </row>
    <row r="500">
      <c r="B500" s="76"/>
      <c r="C500" s="76"/>
      <c r="D500" s="76"/>
      <c r="E500" s="76"/>
      <c r="F500" s="76"/>
      <c r="G500" s="76"/>
      <c r="H500" s="76"/>
    </row>
    <row r="501">
      <c r="B501" s="76"/>
      <c r="C501" s="76"/>
      <c r="D501" s="76"/>
      <c r="E501" s="76"/>
      <c r="F501" s="76"/>
      <c r="G501" s="76"/>
      <c r="H501" s="76"/>
    </row>
    <row r="502">
      <c r="B502" s="76"/>
      <c r="C502" s="76"/>
      <c r="D502" s="76"/>
      <c r="E502" s="76"/>
      <c r="F502" s="76"/>
      <c r="G502" s="76"/>
      <c r="H502" s="76"/>
    </row>
    <row r="503">
      <c r="B503" s="76"/>
      <c r="C503" s="76"/>
      <c r="D503" s="76"/>
      <c r="E503" s="76"/>
      <c r="F503" s="76"/>
      <c r="G503" s="76"/>
      <c r="H503" s="76"/>
    </row>
    <row r="504">
      <c r="B504" s="76"/>
      <c r="C504" s="76"/>
      <c r="D504" s="76"/>
      <c r="E504" s="76"/>
      <c r="F504" s="76"/>
      <c r="G504" s="76"/>
      <c r="H504" s="76"/>
    </row>
    <row r="505">
      <c r="B505" s="76"/>
      <c r="C505" s="76"/>
      <c r="D505" s="76"/>
      <c r="E505" s="76"/>
      <c r="F505" s="76"/>
      <c r="G505" s="76"/>
      <c r="H505" s="76"/>
    </row>
    <row r="506">
      <c r="B506" s="76"/>
      <c r="C506" s="76"/>
      <c r="D506" s="76"/>
      <c r="E506" s="76"/>
      <c r="F506" s="76"/>
      <c r="G506" s="76"/>
      <c r="H506" s="76"/>
    </row>
    <row r="507">
      <c r="B507" s="76"/>
      <c r="C507" s="76"/>
      <c r="D507" s="76"/>
      <c r="E507" s="76"/>
      <c r="F507" s="76"/>
      <c r="G507" s="76"/>
      <c r="H507" s="76"/>
    </row>
    <row r="508">
      <c r="B508" s="76"/>
      <c r="C508" s="76"/>
      <c r="D508" s="76"/>
      <c r="E508" s="76"/>
      <c r="F508" s="76"/>
      <c r="G508" s="76"/>
      <c r="H508" s="76"/>
    </row>
    <row r="509">
      <c r="B509" s="76"/>
      <c r="C509" s="76"/>
      <c r="D509" s="76"/>
      <c r="E509" s="76"/>
      <c r="F509" s="76"/>
      <c r="G509" s="76"/>
      <c r="H509" s="76"/>
    </row>
    <row r="510">
      <c r="B510" s="76"/>
      <c r="C510" s="76"/>
      <c r="D510" s="76"/>
      <c r="E510" s="76"/>
      <c r="F510" s="76"/>
      <c r="G510" s="76"/>
      <c r="H510" s="76"/>
    </row>
    <row r="511">
      <c r="B511" s="76"/>
      <c r="C511" s="76"/>
      <c r="D511" s="76"/>
      <c r="E511" s="76"/>
      <c r="F511" s="76"/>
      <c r="G511" s="76"/>
      <c r="H511" s="76"/>
    </row>
    <row r="512">
      <c r="B512" s="76"/>
      <c r="C512" s="76"/>
      <c r="D512" s="76"/>
      <c r="E512" s="76"/>
      <c r="F512" s="76"/>
      <c r="G512" s="76"/>
      <c r="H512" s="76"/>
    </row>
    <row r="513">
      <c r="B513" s="76"/>
      <c r="C513" s="76"/>
      <c r="D513" s="76"/>
      <c r="E513" s="76"/>
      <c r="F513" s="76"/>
      <c r="G513" s="76"/>
      <c r="H513" s="76"/>
    </row>
    <row r="514">
      <c r="B514" s="76"/>
      <c r="C514" s="76"/>
      <c r="D514" s="76"/>
      <c r="E514" s="76"/>
      <c r="F514" s="76"/>
      <c r="G514" s="76"/>
      <c r="H514" s="76"/>
    </row>
    <row r="515">
      <c r="B515" s="76"/>
      <c r="C515" s="76"/>
      <c r="D515" s="76"/>
      <c r="E515" s="76"/>
      <c r="F515" s="76"/>
      <c r="G515" s="76"/>
      <c r="H515" s="76"/>
    </row>
    <row r="516">
      <c r="B516" s="76"/>
      <c r="C516" s="76"/>
      <c r="D516" s="76"/>
      <c r="E516" s="76"/>
      <c r="F516" s="76"/>
      <c r="G516" s="76"/>
      <c r="H516" s="76"/>
    </row>
    <row r="517">
      <c r="B517" s="76"/>
      <c r="C517" s="76"/>
      <c r="D517" s="76"/>
      <c r="E517" s="76"/>
      <c r="F517" s="76"/>
      <c r="G517" s="76"/>
      <c r="H517" s="76"/>
    </row>
    <row r="518">
      <c r="B518" s="76"/>
      <c r="C518" s="76"/>
      <c r="D518" s="76"/>
      <c r="E518" s="76"/>
      <c r="F518" s="76"/>
      <c r="G518" s="76"/>
      <c r="H518" s="76"/>
    </row>
    <row r="519">
      <c r="B519" s="76"/>
      <c r="C519" s="76"/>
      <c r="D519" s="76"/>
      <c r="E519" s="76"/>
      <c r="F519" s="76"/>
      <c r="G519" s="76"/>
      <c r="H519" s="76"/>
    </row>
    <row r="520">
      <c r="B520" s="76"/>
      <c r="C520" s="76"/>
      <c r="D520" s="76"/>
      <c r="E520" s="76"/>
      <c r="F520" s="76"/>
      <c r="G520" s="76"/>
      <c r="H520" s="76"/>
    </row>
    <row r="521">
      <c r="B521" s="76"/>
      <c r="C521" s="76"/>
      <c r="D521" s="76"/>
      <c r="E521" s="76"/>
      <c r="F521" s="76"/>
      <c r="G521" s="76"/>
      <c r="H521" s="76"/>
    </row>
    <row r="522">
      <c r="B522" s="76"/>
      <c r="C522" s="76"/>
      <c r="D522" s="76"/>
      <c r="E522" s="76"/>
      <c r="F522" s="76"/>
      <c r="G522" s="76"/>
      <c r="H522" s="76"/>
    </row>
    <row r="523">
      <c r="B523" s="76"/>
      <c r="C523" s="76"/>
      <c r="D523" s="76"/>
      <c r="E523" s="76"/>
      <c r="F523" s="76"/>
      <c r="G523" s="76"/>
      <c r="H523" s="76"/>
    </row>
    <row r="524">
      <c r="B524" s="76"/>
      <c r="C524" s="76"/>
      <c r="D524" s="76"/>
      <c r="E524" s="76"/>
      <c r="F524" s="76"/>
      <c r="G524" s="76"/>
      <c r="H524" s="76"/>
    </row>
    <row r="525">
      <c r="B525" s="76"/>
      <c r="C525" s="76"/>
      <c r="D525" s="76"/>
      <c r="E525" s="76"/>
      <c r="F525" s="76"/>
      <c r="G525" s="76"/>
      <c r="H525" s="76"/>
    </row>
    <row r="526">
      <c r="B526" s="76"/>
      <c r="C526" s="76"/>
      <c r="D526" s="76"/>
      <c r="E526" s="76"/>
      <c r="F526" s="76"/>
      <c r="G526" s="76"/>
      <c r="H526" s="76"/>
    </row>
    <row r="527">
      <c r="B527" s="76"/>
      <c r="C527" s="76"/>
      <c r="D527" s="76"/>
      <c r="E527" s="76"/>
      <c r="F527" s="76"/>
      <c r="G527" s="76"/>
      <c r="H527" s="76"/>
    </row>
    <row r="528">
      <c r="B528" s="76"/>
      <c r="C528" s="76"/>
      <c r="D528" s="76"/>
      <c r="E528" s="76"/>
      <c r="F528" s="76"/>
      <c r="G528" s="76"/>
      <c r="H528" s="76"/>
    </row>
    <row r="529">
      <c r="B529" s="76"/>
      <c r="C529" s="76"/>
      <c r="D529" s="76"/>
      <c r="E529" s="76"/>
      <c r="F529" s="76"/>
      <c r="G529" s="76"/>
      <c r="H529" s="76"/>
    </row>
    <row r="530">
      <c r="B530" s="76"/>
      <c r="C530" s="76"/>
      <c r="D530" s="76"/>
      <c r="E530" s="76"/>
      <c r="F530" s="76"/>
      <c r="G530" s="76"/>
      <c r="H530" s="76"/>
    </row>
    <row r="531">
      <c r="B531" s="76"/>
      <c r="C531" s="76"/>
      <c r="D531" s="76"/>
      <c r="E531" s="76"/>
      <c r="F531" s="76"/>
      <c r="G531" s="76"/>
      <c r="H531" s="76"/>
    </row>
    <row r="532">
      <c r="B532" s="76"/>
      <c r="C532" s="76"/>
      <c r="D532" s="76"/>
      <c r="E532" s="76"/>
      <c r="F532" s="76"/>
      <c r="G532" s="76"/>
      <c r="H532" s="76"/>
    </row>
    <row r="533">
      <c r="B533" s="76"/>
      <c r="C533" s="76"/>
      <c r="D533" s="76"/>
      <c r="E533" s="76"/>
      <c r="F533" s="76"/>
      <c r="G533" s="76"/>
      <c r="H533" s="76"/>
    </row>
    <row r="534">
      <c r="B534" s="76"/>
      <c r="C534" s="76"/>
      <c r="D534" s="76"/>
      <c r="E534" s="76"/>
      <c r="F534" s="76"/>
      <c r="G534" s="76"/>
      <c r="H534" s="76"/>
    </row>
    <row r="535">
      <c r="B535" s="76"/>
      <c r="C535" s="76"/>
      <c r="D535" s="76"/>
      <c r="E535" s="76"/>
      <c r="F535" s="76"/>
      <c r="G535" s="76"/>
      <c r="H535" s="76"/>
    </row>
    <row r="536">
      <c r="B536" s="76"/>
      <c r="C536" s="76"/>
      <c r="D536" s="76"/>
      <c r="E536" s="76"/>
      <c r="F536" s="76"/>
      <c r="G536" s="76"/>
      <c r="H536" s="76"/>
    </row>
    <row r="537">
      <c r="B537" s="76"/>
      <c r="C537" s="76"/>
      <c r="D537" s="76"/>
      <c r="E537" s="76"/>
      <c r="F537" s="76"/>
      <c r="G537" s="76"/>
      <c r="H537" s="76"/>
    </row>
    <row r="538">
      <c r="B538" s="76"/>
      <c r="C538" s="76"/>
      <c r="D538" s="76"/>
      <c r="E538" s="76"/>
      <c r="F538" s="76"/>
      <c r="G538" s="76"/>
      <c r="H538" s="76"/>
    </row>
    <row r="539">
      <c r="B539" s="76"/>
      <c r="C539" s="76"/>
      <c r="D539" s="76"/>
      <c r="E539" s="76"/>
      <c r="F539" s="76"/>
      <c r="G539" s="76"/>
      <c r="H539" s="76"/>
    </row>
    <row r="540">
      <c r="B540" s="76"/>
      <c r="C540" s="76"/>
      <c r="D540" s="76"/>
      <c r="E540" s="76"/>
      <c r="F540" s="76"/>
      <c r="G540" s="76"/>
      <c r="H540" s="76"/>
    </row>
    <row r="541">
      <c r="B541" s="76"/>
      <c r="C541" s="76"/>
      <c r="D541" s="76"/>
      <c r="E541" s="76"/>
      <c r="F541" s="76"/>
      <c r="G541" s="76"/>
      <c r="H541" s="76"/>
    </row>
    <row r="542">
      <c r="B542" s="76"/>
      <c r="C542" s="76"/>
      <c r="D542" s="76"/>
      <c r="E542" s="76"/>
      <c r="F542" s="76"/>
      <c r="G542" s="76"/>
      <c r="H542" s="76"/>
    </row>
    <row r="543">
      <c r="B543" s="76"/>
      <c r="C543" s="76"/>
      <c r="D543" s="76"/>
      <c r="E543" s="76"/>
      <c r="F543" s="76"/>
      <c r="G543" s="76"/>
      <c r="H543" s="76"/>
    </row>
    <row r="544">
      <c r="B544" s="76"/>
      <c r="C544" s="76"/>
      <c r="D544" s="76"/>
      <c r="E544" s="76"/>
      <c r="F544" s="76"/>
      <c r="G544" s="76"/>
      <c r="H544" s="76"/>
    </row>
    <row r="545">
      <c r="B545" s="76"/>
      <c r="C545" s="76"/>
      <c r="D545" s="76"/>
      <c r="E545" s="76"/>
      <c r="F545" s="76"/>
      <c r="G545" s="76"/>
      <c r="H545" s="76"/>
    </row>
    <row r="546">
      <c r="B546" s="76"/>
      <c r="C546" s="76"/>
      <c r="D546" s="76"/>
      <c r="E546" s="76"/>
      <c r="F546" s="76"/>
      <c r="G546" s="76"/>
      <c r="H546" s="76"/>
    </row>
    <row r="547">
      <c r="B547" s="76"/>
      <c r="C547" s="76"/>
      <c r="D547" s="76"/>
      <c r="E547" s="76"/>
      <c r="F547" s="76"/>
      <c r="G547" s="76"/>
      <c r="H547" s="76"/>
    </row>
    <row r="548">
      <c r="B548" s="76"/>
      <c r="C548" s="76"/>
      <c r="D548" s="76"/>
      <c r="E548" s="76"/>
      <c r="F548" s="76"/>
      <c r="G548" s="76"/>
      <c r="H548" s="76"/>
    </row>
    <row r="549">
      <c r="B549" s="76"/>
      <c r="C549" s="76"/>
      <c r="D549" s="76"/>
      <c r="E549" s="76"/>
      <c r="F549" s="76"/>
      <c r="G549" s="76"/>
      <c r="H549" s="76"/>
    </row>
    <row r="550">
      <c r="B550" s="76"/>
      <c r="C550" s="76"/>
      <c r="D550" s="76"/>
      <c r="E550" s="76"/>
      <c r="F550" s="76"/>
      <c r="G550" s="76"/>
      <c r="H550" s="76"/>
    </row>
    <row r="551">
      <c r="B551" s="76"/>
      <c r="C551" s="76"/>
      <c r="D551" s="76"/>
      <c r="E551" s="76"/>
      <c r="F551" s="76"/>
      <c r="G551" s="76"/>
      <c r="H551" s="76"/>
    </row>
    <row r="552">
      <c r="B552" s="76"/>
      <c r="C552" s="76"/>
      <c r="D552" s="76"/>
      <c r="E552" s="76"/>
      <c r="F552" s="76"/>
      <c r="G552" s="76"/>
      <c r="H552" s="76"/>
    </row>
    <row r="553">
      <c r="B553" s="76"/>
      <c r="C553" s="76"/>
      <c r="D553" s="76"/>
      <c r="E553" s="76"/>
      <c r="F553" s="76"/>
      <c r="G553" s="76"/>
      <c r="H553" s="76"/>
    </row>
    <row r="554">
      <c r="B554" s="76"/>
      <c r="C554" s="76"/>
      <c r="D554" s="76"/>
      <c r="E554" s="76"/>
      <c r="F554" s="76"/>
      <c r="G554" s="76"/>
      <c r="H554" s="76"/>
    </row>
    <row r="555">
      <c r="B555" s="76"/>
      <c r="C555" s="76"/>
      <c r="D555" s="76"/>
      <c r="E555" s="76"/>
      <c r="F555" s="76"/>
      <c r="G555" s="76"/>
      <c r="H555" s="76"/>
    </row>
    <row r="556">
      <c r="B556" s="76"/>
      <c r="C556" s="76"/>
      <c r="D556" s="76"/>
      <c r="E556" s="76"/>
      <c r="F556" s="76"/>
      <c r="G556" s="76"/>
      <c r="H556" s="76"/>
    </row>
    <row r="557">
      <c r="B557" s="76"/>
      <c r="C557" s="76"/>
      <c r="D557" s="76"/>
      <c r="E557" s="76"/>
      <c r="F557" s="76"/>
      <c r="G557" s="76"/>
      <c r="H557" s="76"/>
    </row>
    <row r="558">
      <c r="B558" s="76"/>
      <c r="C558" s="76"/>
      <c r="D558" s="76"/>
      <c r="E558" s="76"/>
      <c r="F558" s="76"/>
      <c r="G558" s="76"/>
      <c r="H558" s="76"/>
    </row>
    <row r="559">
      <c r="B559" s="76"/>
      <c r="C559" s="76"/>
      <c r="D559" s="76"/>
      <c r="E559" s="76"/>
      <c r="F559" s="76"/>
      <c r="G559" s="76"/>
      <c r="H559" s="76"/>
    </row>
    <row r="560">
      <c r="B560" s="76"/>
      <c r="C560" s="76"/>
      <c r="D560" s="76"/>
      <c r="E560" s="76"/>
      <c r="F560" s="76"/>
      <c r="G560" s="76"/>
      <c r="H560" s="76"/>
    </row>
    <row r="561">
      <c r="B561" s="76"/>
      <c r="C561" s="76"/>
      <c r="D561" s="76"/>
      <c r="E561" s="76"/>
      <c r="F561" s="76"/>
      <c r="G561" s="76"/>
      <c r="H561" s="76"/>
    </row>
    <row r="562">
      <c r="B562" s="76"/>
      <c r="C562" s="76"/>
      <c r="D562" s="76"/>
      <c r="E562" s="76"/>
      <c r="F562" s="76"/>
      <c r="G562" s="76"/>
      <c r="H562" s="76"/>
    </row>
    <row r="563">
      <c r="B563" s="76"/>
      <c r="C563" s="76"/>
      <c r="D563" s="76"/>
      <c r="E563" s="76"/>
      <c r="F563" s="76"/>
      <c r="G563" s="76"/>
      <c r="H563" s="76"/>
    </row>
    <row r="564">
      <c r="B564" s="76"/>
      <c r="C564" s="76"/>
      <c r="D564" s="76"/>
      <c r="E564" s="76"/>
      <c r="F564" s="76"/>
      <c r="G564" s="76"/>
      <c r="H564" s="76"/>
    </row>
    <row r="565">
      <c r="B565" s="76"/>
      <c r="C565" s="76"/>
      <c r="D565" s="76"/>
      <c r="E565" s="76"/>
      <c r="F565" s="76"/>
      <c r="G565" s="76"/>
      <c r="H565" s="76"/>
    </row>
    <row r="566">
      <c r="B566" s="76"/>
      <c r="C566" s="76"/>
      <c r="D566" s="76"/>
      <c r="E566" s="76"/>
      <c r="F566" s="76"/>
      <c r="G566" s="76"/>
      <c r="H566" s="76"/>
    </row>
    <row r="567">
      <c r="B567" s="76"/>
      <c r="C567" s="76"/>
      <c r="D567" s="76"/>
      <c r="E567" s="76"/>
      <c r="F567" s="76"/>
      <c r="G567" s="76"/>
      <c r="H567" s="76"/>
    </row>
    <row r="568">
      <c r="B568" s="76"/>
      <c r="C568" s="76"/>
      <c r="D568" s="76"/>
      <c r="E568" s="76"/>
      <c r="F568" s="76"/>
      <c r="G568" s="76"/>
      <c r="H568" s="76"/>
    </row>
    <row r="569">
      <c r="B569" s="76"/>
      <c r="C569" s="76"/>
      <c r="D569" s="76"/>
      <c r="E569" s="76"/>
      <c r="F569" s="76"/>
      <c r="G569" s="76"/>
      <c r="H569" s="76"/>
    </row>
    <row r="570">
      <c r="B570" s="76"/>
      <c r="C570" s="76"/>
      <c r="D570" s="76"/>
      <c r="E570" s="76"/>
      <c r="F570" s="76"/>
      <c r="G570" s="76"/>
      <c r="H570" s="76"/>
    </row>
    <row r="571">
      <c r="B571" s="76"/>
      <c r="C571" s="76"/>
      <c r="D571" s="76"/>
      <c r="E571" s="76"/>
      <c r="F571" s="76"/>
      <c r="G571" s="76"/>
      <c r="H571" s="76"/>
    </row>
    <row r="572">
      <c r="B572" s="76"/>
      <c r="C572" s="76"/>
      <c r="D572" s="76"/>
      <c r="E572" s="76"/>
      <c r="F572" s="76"/>
      <c r="G572" s="76"/>
      <c r="H572" s="76"/>
    </row>
    <row r="573">
      <c r="B573" s="76"/>
      <c r="C573" s="76"/>
      <c r="D573" s="76"/>
      <c r="E573" s="76"/>
      <c r="F573" s="76"/>
      <c r="G573" s="76"/>
      <c r="H573" s="76"/>
    </row>
    <row r="574">
      <c r="B574" s="76"/>
      <c r="C574" s="76"/>
      <c r="D574" s="76"/>
      <c r="E574" s="76"/>
      <c r="F574" s="76"/>
      <c r="G574" s="76"/>
      <c r="H574" s="76"/>
    </row>
    <row r="575">
      <c r="B575" s="76"/>
      <c r="C575" s="76"/>
      <c r="D575" s="76"/>
      <c r="E575" s="76"/>
      <c r="F575" s="76"/>
      <c r="G575" s="76"/>
      <c r="H575" s="76"/>
    </row>
    <row r="576">
      <c r="B576" s="76"/>
      <c r="C576" s="76"/>
      <c r="D576" s="76"/>
      <c r="E576" s="76"/>
      <c r="F576" s="76"/>
      <c r="G576" s="76"/>
      <c r="H576" s="76"/>
    </row>
    <row r="577">
      <c r="B577" s="76"/>
      <c r="C577" s="76"/>
      <c r="D577" s="76"/>
      <c r="E577" s="76"/>
      <c r="F577" s="76"/>
      <c r="G577" s="76"/>
      <c r="H577" s="76"/>
    </row>
    <row r="578">
      <c r="B578" s="76"/>
      <c r="C578" s="76"/>
      <c r="D578" s="76"/>
      <c r="E578" s="76"/>
      <c r="F578" s="76"/>
      <c r="G578" s="76"/>
      <c r="H578" s="76"/>
    </row>
    <row r="579">
      <c r="B579" s="76"/>
      <c r="C579" s="76"/>
      <c r="D579" s="76"/>
      <c r="E579" s="76"/>
      <c r="F579" s="76"/>
      <c r="G579" s="76"/>
      <c r="H579" s="76"/>
    </row>
    <row r="580">
      <c r="B580" s="76"/>
      <c r="C580" s="76"/>
      <c r="D580" s="76"/>
      <c r="E580" s="76"/>
      <c r="F580" s="76"/>
      <c r="G580" s="76"/>
      <c r="H580" s="76"/>
    </row>
    <row r="581">
      <c r="B581" s="76"/>
      <c r="C581" s="76"/>
      <c r="D581" s="76"/>
      <c r="E581" s="76"/>
      <c r="F581" s="76"/>
      <c r="G581" s="76"/>
      <c r="H581" s="76"/>
    </row>
    <row r="582">
      <c r="B582" s="76"/>
      <c r="C582" s="76"/>
      <c r="D582" s="76"/>
      <c r="E582" s="76"/>
      <c r="F582" s="76"/>
      <c r="G582" s="76"/>
      <c r="H582" s="76"/>
    </row>
    <row r="583">
      <c r="B583" s="76"/>
      <c r="C583" s="76"/>
      <c r="D583" s="76"/>
      <c r="E583" s="76"/>
      <c r="F583" s="76"/>
      <c r="G583" s="76"/>
      <c r="H583" s="76"/>
    </row>
    <row r="584">
      <c r="B584" s="76"/>
      <c r="C584" s="76"/>
      <c r="D584" s="76"/>
      <c r="E584" s="76"/>
      <c r="F584" s="76"/>
      <c r="G584" s="76"/>
      <c r="H584" s="76"/>
    </row>
    <row r="585">
      <c r="B585" s="76"/>
      <c r="C585" s="76"/>
      <c r="D585" s="76"/>
      <c r="E585" s="76"/>
      <c r="F585" s="76"/>
      <c r="G585" s="76"/>
      <c r="H585" s="76"/>
    </row>
    <row r="586">
      <c r="B586" s="76"/>
      <c r="C586" s="76"/>
      <c r="D586" s="76"/>
      <c r="E586" s="76"/>
      <c r="F586" s="76"/>
      <c r="G586" s="76"/>
      <c r="H586" s="76"/>
    </row>
    <row r="587">
      <c r="B587" s="76"/>
      <c r="C587" s="76"/>
      <c r="D587" s="76"/>
      <c r="E587" s="76"/>
      <c r="F587" s="76"/>
      <c r="G587" s="76"/>
      <c r="H587" s="76"/>
    </row>
    <row r="588">
      <c r="B588" s="76"/>
      <c r="C588" s="76"/>
      <c r="D588" s="76"/>
      <c r="E588" s="76"/>
      <c r="F588" s="76"/>
      <c r="G588" s="76"/>
      <c r="H588" s="76"/>
    </row>
    <row r="589">
      <c r="B589" s="76"/>
      <c r="C589" s="76"/>
      <c r="D589" s="76"/>
      <c r="E589" s="76"/>
      <c r="F589" s="76"/>
      <c r="G589" s="76"/>
      <c r="H589" s="76"/>
    </row>
    <row r="590">
      <c r="B590" s="76"/>
      <c r="C590" s="76"/>
      <c r="D590" s="76"/>
      <c r="E590" s="76"/>
      <c r="F590" s="76"/>
      <c r="G590" s="76"/>
      <c r="H590" s="76"/>
    </row>
    <row r="591">
      <c r="B591" s="76"/>
      <c r="C591" s="76"/>
      <c r="D591" s="76"/>
      <c r="E591" s="76"/>
      <c r="F591" s="76"/>
      <c r="G591" s="76"/>
      <c r="H591" s="76"/>
    </row>
    <row r="592">
      <c r="B592" s="76"/>
      <c r="C592" s="76"/>
      <c r="D592" s="76"/>
      <c r="E592" s="76"/>
      <c r="F592" s="76"/>
      <c r="G592" s="76"/>
      <c r="H592" s="76"/>
    </row>
    <row r="593">
      <c r="B593" s="76"/>
      <c r="C593" s="76"/>
      <c r="D593" s="76"/>
      <c r="E593" s="76"/>
      <c r="F593" s="76"/>
      <c r="G593" s="76"/>
      <c r="H593" s="76"/>
    </row>
    <row r="594">
      <c r="B594" s="76"/>
      <c r="C594" s="76"/>
      <c r="D594" s="76"/>
      <c r="E594" s="76"/>
      <c r="F594" s="76"/>
      <c r="G594" s="76"/>
      <c r="H594" s="76"/>
    </row>
    <row r="595">
      <c r="B595" s="76"/>
      <c r="C595" s="76"/>
      <c r="D595" s="76"/>
      <c r="E595" s="76"/>
      <c r="F595" s="76"/>
      <c r="G595" s="76"/>
      <c r="H595" s="76"/>
    </row>
    <row r="596">
      <c r="B596" s="76"/>
      <c r="C596" s="76"/>
      <c r="D596" s="76"/>
      <c r="E596" s="76"/>
      <c r="F596" s="76"/>
      <c r="G596" s="76"/>
      <c r="H596" s="76"/>
    </row>
    <row r="597">
      <c r="B597" s="76"/>
      <c r="C597" s="76"/>
      <c r="D597" s="76"/>
      <c r="E597" s="76"/>
      <c r="F597" s="76"/>
      <c r="G597" s="76"/>
      <c r="H597" s="76"/>
    </row>
    <row r="598">
      <c r="B598" s="76"/>
      <c r="C598" s="76"/>
      <c r="D598" s="76"/>
      <c r="E598" s="76"/>
      <c r="F598" s="76"/>
      <c r="G598" s="76"/>
      <c r="H598" s="76"/>
    </row>
    <row r="599">
      <c r="B599" s="76"/>
      <c r="C599" s="76"/>
      <c r="D599" s="76"/>
      <c r="E599" s="76"/>
      <c r="F599" s="76"/>
      <c r="G599" s="76"/>
      <c r="H599" s="76"/>
    </row>
    <row r="600">
      <c r="B600" s="76"/>
      <c r="C600" s="76"/>
      <c r="D600" s="76"/>
      <c r="E600" s="76"/>
      <c r="F600" s="76"/>
      <c r="G600" s="76"/>
      <c r="H600" s="76"/>
    </row>
    <row r="601">
      <c r="B601" s="76"/>
      <c r="C601" s="76"/>
      <c r="D601" s="76"/>
      <c r="E601" s="76"/>
      <c r="F601" s="76"/>
      <c r="G601" s="76"/>
      <c r="H601" s="76"/>
    </row>
    <row r="602">
      <c r="B602" s="76"/>
      <c r="C602" s="76"/>
      <c r="D602" s="76"/>
      <c r="E602" s="76"/>
      <c r="F602" s="76"/>
      <c r="G602" s="76"/>
      <c r="H602" s="76"/>
    </row>
    <row r="603">
      <c r="B603" s="76"/>
      <c r="C603" s="76"/>
      <c r="D603" s="76"/>
      <c r="E603" s="76"/>
      <c r="F603" s="76"/>
      <c r="G603" s="76"/>
      <c r="H603" s="76"/>
    </row>
    <row r="604">
      <c r="B604" s="76"/>
      <c r="C604" s="76"/>
      <c r="D604" s="76"/>
      <c r="E604" s="76"/>
      <c r="F604" s="76"/>
      <c r="G604" s="76"/>
      <c r="H604" s="76"/>
    </row>
    <row r="605">
      <c r="B605" s="76"/>
      <c r="C605" s="76"/>
      <c r="D605" s="76"/>
      <c r="E605" s="76"/>
      <c r="F605" s="76"/>
      <c r="G605" s="76"/>
      <c r="H605" s="76"/>
    </row>
    <row r="606">
      <c r="B606" s="76"/>
      <c r="C606" s="76"/>
      <c r="D606" s="76"/>
      <c r="E606" s="76"/>
      <c r="F606" s="76"/>
      <c r="G606" s="76"/>
      <c r="H606" s="76"/>
    </row>
    <row r="607">
      <c r="B607" s="76"/>
      <c r="C607" s="76"/>
      <c r="D607" s="76"/>
      <c r="E607" s="76"/>
      <c r="F607" s="76"/>
      <c r="G607" s="76"/>
      <c r="H607" s="76"/>
    </row>
    <row r="608">
      <c r="B608" s="76"/>
      <c r="C608" s="76"/>
      <c r="D608" s="76"/>
      <c r="E608" s="76"/>
      <c r="F608" s="76"/>
      <c r="G608" s="76"/>
      <c r="H608" s="76"/>
    </row>
    <row r="609">
      <c r="B609" s="76"/>
      <c r="C609" s="76"/>
      <c r="D609" s="76"/>
      <c r="E609" s="76"/>
      <c r="F609" s="76"/>
      <c r="G609" s="76"/>
      <c r="H609" s="76"/>
    </row>
    <row r="610">
      <c r="B610" s="76"/>
      <c r="C610" s="76"/>
      <c r="D610" s="76"/>
      <c r="E610" s="76"/>
      <c r="F610" s="76"/>
      <c r="G610" s="76"/>
      <c r="H610" s="76"/>
    </row>
    <row r="611">
      <c r="B611" s="76"/>
      <c r="C611" s="76"/>
      <c r="D611" s="76"/>
      <c r="E611" s="76"/>
      <c r="F611" s="76"/>
      <c r="G611" s="76"/>
      <c r="H611" s="76"/>
    </row>
    <row r="612">
      <c r="B612" s="76"/>
      <c r="C612" s="76"/>
      <c r="D612" s="76"/>
      <c r="E612" s="76"/>
      <c r="F612" s="76"/>
      <c r="G612" s="76"/>
      <c r="H612" s="76"/>
    </row>
    <row r="613">
      <c r="B613" s="76"/>
      <c r="C613" s="76"/>
      <c r="D613" s="76"/>
      <c r="E613" s="76"/>
      <c r="F613" s="76"/>
      <c r="G613" s="76"/>
      <c r="H613" s="76"/>
    </row>
    <row r="614">
      <c r="B614" s="76"/>
      <c r="C614" s="76"/>
      <c r="D614" s="76"/>
      <c r="E614" s="76"/>
      <c r="F614" s="76"/>
      <c r="G614" s="76"/>
      <c r="H614" s="76"/>
    </row>
    <row r="615">
      <c r="B615" s="76"/>
      <c r="C615" s="76"/>
      <c r="D615" s="76"/>
      <c r="E615" s="76"/>
      <c r="F615" s="76"/>
      <c r="G615" s="76"/>
      <c r="H615" s="76"/>
    </row>
    <row r="616">
      <c r="B616" s="76"/>
      <c r="C616" s="76"/>
      <c r="D616" s="76"/>
      <c r="E616" s="76"/>
      <c r="F616" s="76"/>
      <c r="G616" s="76"/>
      <c r="H616" s="76"/>
    </row>
    <row r="617">
      <c r="B617" s="76"/>
      <c r="C617" s="76"/>
      <c r="D617" s="76"/>
      <c r="E617" s="76"/>
      <c r="F617" s="76"/>
      <c r="G617" s="76"/>
      <c r="H617" s="76"/>
    </row>
    <row r="618">
      <c r="B618" s="76"/>
      <c r="C618" s="76"/>
      <c r="D618" s="76"/>
      <c r="E618" s="76"/>
      <c r="F618" s="76"/>
      <c r="G618" s="76"/>
      <c r="H618" s="76"/>
    </row>
    <row r="619">
      <c r="B619" s="76"/>
      <c r="C619" s="76"/>
      <c r="D619" s="76"/>
      <c r="E619" s="76"/>
      <c r="F619" s="76"/>
      <c r="G619" s="76"/>
      <c r="H619" s="76"/>
    </row>
    <row r="620">
      <c r="B620" s="76"/>
      <c r="C620" s="76"/>
      <c r="D620" s="76"/>
      <c r="E620" s="76"/>
      <c r="F620" s="76"/>
      <c r="G620" s="76"/>
      <c r="H620" s="76"/>
    </row>
    <row r="621">
      <c r="B621" s="76"/>
      <c r="C621" s="76"/>
      <c r="D621" s="76"/>
      <c r="E621" s="76"/>
      <c r="F621" s="76"/>
      <c r="G621" s="76"/>
      <c r="H621" s="76"/>
    </row>
    <row r="622">
      <c r="B622" s="76"/>
      <c r="C622" s="76"/>
      <c r="D622" s="76"/>
      <c r="E622" s="76"/>
      <c r="F622" s="76"/>
      <c r="G622" s="76"/>
      <c r="H622" s="76"/>
    </row>
    <row r="623">
      <c r="B623" s="76"/>
      <c r="C623" s="76"/>
      <c r="D623" s="76"/>
      <c r="E623" s="76"/>
      <c r="F623" s="76"/>
      <c r="G623" s="76"/>
      <c r="H623" s="76"/>
    </row>
    <row r="624">
      <c r="B624" s="76"/>
      <c r="C624" s="76"/>
      <c r="D624" s="76"/>
      <c r="E624" s="76"/>
      <c r="F624" s="76"/>
      <c r="G624" s="76"/>
      <c r="H624" s="76"/>
    </row>
    <row r="625">
      <c r="B625" s="76"/>
      <c r="C625" s="76"/>
      <c r="D625" s="76"/>
      <c r="E625" s="76"/>
      <c r="F625" s="76"/>
      <c r="G625" s="76"/>
      <c r="H625" s="76"/>
    </row>
    <row r="626">
      <c r="B626" s="76"/>
      <c r="C626" s="76"/>
      <c r="D626" s="76"/>
      <c r="E626" s="76"/>
      <c r="F626" s="76"/>
      <c r="G626" s="76"/>
      <c r="H626" s="76"/>
    </row>
    <row r="627">
      <c r="B627" s="76"/>
      <c r="C627" s="76"/>
      <c r="D627" s="76"/>
      <c r="E627" s="76"/>
      <c r="F627" s="76"/>
      <c r="G627" s="76"/>
      <c r="H627" s="76"/>
    </row>
    <row r="628">
      <c r="B628" s="76"/>
      <c r="C628" s="76"/>
      <c r="D628" s="76"/>
      <c r="E628" s="76"/>
      <c r="F628" s="76"/>
      <c r="G628" s="76"/>
      <c r="H628" s="76"/>
    </row>
    <row r="629">
      <c r="B629" s="76"/>
      <c r="C629" s="76"/>
      <c r="D629" s="76"/>
      <c r="E629" s="76"/>
      <c r="F629" s="76"/>
      <c r="G629" s="76"/>
      <c r="H629" s="76"/>
    </row>
    <row r="630">
      <c r="B630" s="76"/>
      <c r="C630" s="76"/>
      <c r="D630" s="76"/>
      <c r="E630" s="76"/>
      <c r="F630" s="76"/>
      <c r="G630" s="76"/>
      <c r="H630" s="76"/>
    </row>
    <row r="631">
      <c r="B631" s="76"/>
      <c r="C631" s="76"/>
      <c r="D631" s="76"/>
      <c r="E631" s="76"/>
      <c r="F631" s="76"/>
      <c r="G631" s="76"/>
      <c r="H631" s="76"/>
    </row>
    <row r="632">
      <c r="B632" s="76"/>
      <c r="C632" s="76"/>
      <c r="D632" s="76"/>
      <c r="E632" s="76"/>
      <c r="F632" s="76"/>
      <c r="G632" s="76"/>
      <c r="H632" s="76"/>
    </row>
    <row r="633">
      <c r="B633" s="76"/>
      <c r="C633" s="76"/>
      <c r="D633" s="76"/>
      <c r="E633" s="76"/>
      <c r="F633" s="76"/>
      <c r="G633" s="76"/>
      <c r="H633" s="76"/>
    </row>
    <row r="634">
      <c r="B634" s="76"/>
      <c r="C634" s="76"/>
      <c r="D634" s="76"/>
      <c r="E634" s="76"/>
      <c r="F634" s="76"/>
      <c r="G634" s="76"/>
      <c r="H634" s="76"/>
    </row>
    <row r="635">
      <c r="B635" s="76"/>
      <c r="C635" s="76"/>
      <c r="D635" s="76"/>
      <c r="E635" s="76"/>
      <c r="F635" s="76"/>
      <c r="G635" s="76"/>
      <c r="H635" s="76"/>
    </row>
    <row r="636">
      <c r="B636" s="76"/>
      <c r="C636" s="76"/>
      <c r="D636" s="76"/>
      <c r="E636" s="76"/>
      <c r="F636" s="76"/>
      <c r="G636" s="76"/>
      <c r="H636" s="76"/>
    </row>
    <row r="637">
      <c r="B637" s="76"/>
      <c r="C637" s="76"/>
      <c r="D637" s="76"/>
      <c r="E637" s="76"/>
      <c r="F637" s="76"/>
      <c r="G637" s="76"/>
      <c r="H637" s="76"/>
    </row>
    <row r="638">
      <c r="B638" s="76"/>
      <c r="C638" s="76"/>
      <c r="D638" s="76"/>
      <c r="E638" s="76"/>
      <c r="F638" s="76"/>
      <c r="G638" s="76"/>
      <c r="H638" s="76"/>
    </row>
    <row r="639">
      <c r="B639" s="76"/>
      <c r="C639" s="76"/>
      <c r="D639" s="76"/>
      <c r="E639" s="76"/>
      <c r="F639" s="76"/>
      <c r="G639" s="76"/>
      <c r="H639" s="76"/>
    </row>
    <row r="640">
      <c r="B640" s="76"/>
      <c r="C640" s="76"/>
      <c r="D640" s="76"/>
      <c r="E640" s="76"/>
      <c r="F640" s="76"/>
      <c r="G640" s="76"/>
      <c r="H640" s="76"/>
    </row>
    <row r="641">
      <c r="B641" s="76"/>
      <c r="C641" s="76"/>
      <c r="D641" s="76"/>
      <c r="E641" s="76"/>
      <c r="F641" s="76"/>
      <c r="G641" s="76"/>
      <c r="H641" s="76"/>
    </row>
    <row r="642">
      <c r="B642" s="76"/>
      <c r="C642" s="76"/>
      <c r="D642" s="76"/>
      <c r="E642" s="76"/>
      <c r="F642" s="76"/>
      <c r="G642" s="76"/>
      <c r="H642" s="76"/>
    </row>
    <row r="643">
      <c r="B643" s="76"/>
      <c r="C643" s="76"/>
      <c r="D643" s="76"/>
      <c r="E643" s="76"/>
      <c r="F643" s="76"/>
      <c r="G643" s="76"/>
      <c r="H643" s="76"/>
    </row>
    <row r="644">
      <c r="B644" s="76"/>
      <c r="C644" s="76"/>
      <c r="D644" s="76"/>
      <c r="E644" s="76"/>
      <c r="F644" s="76"/>
      <c r="G644" s="76"/>
      <c r="H644" s="76"/>
    </row>
    <row r="645">
      <c r="B645" s="76"/>
      <c r="C645" s="76"/>
      <c r="D645" s="76"/>
      <c r="E645" s="76"/>
      <c r="F645" s="76"/>
      <c r="G645" s="76"/>
      <c r="H645" s="76"/>
    </row>
    <row r="646">
      <c r="B646" s="76"/>
      <c r="C646" s="76"/>
      <c r="D646" s="76"/>
      <c r="E646" s="76"/>
      <c r="F646" s="76"/>
      <c r="G646" s="76"/>
      <c r="H646" s="76"/>
    </row>
    <row r="647">
      <c r="B647" s="76"/>
      <c r="C647" s="76"/>
      <c r="D647" s="76"/>
      <c r="E647" s="76"/>
      <c r="F647" s="76"/>
      <c r="G647" s="76"/>
      <c r="H647" s="76"/>
    </row>
    <row r="648">
      <c r="B648" s="76"/>
      <c r="C648" s="76"/>
      <c r="D648" s="76"/>
      <c r="E648" s="76"/>
      <c r="F648" s="76"/>
      <c r="G648" s="76"/>
      <c r="H648" s="76"/>
    </row>
    <row r="649">
      <c r="B649" s="76"/>
      <c r="C649" s="76"/>
      <c r="D649" s="76"/>
      <c r="E649" s="76"/>
      <c r="F649" s="76"/>
      <c r="G649" s="76"/>
      <c r="H649" s="76"/>
    </row>
    <row r="650">
      <c r="B650" s="76"/>
      <c r="C650" s="76"/>
      <c r="D650" s="76"/>
      <c r="E650" s="76"/>
      <c r="F650" s="76"/>
      <c r="G650" s="76"/>
      <c r="H650" s="76"/>
    </row>
    <row r="651">
      <c r="B651" s="76"/>
      <c r="C651" s="76"/>
      <c r="D651" s="76"/>
      <c r="E651" s="76"/>
      <c r="F651" s="76"/>
      <c r="G651" s="76"/>
      <c r="H651" s="76"/>
    </row>
    <row r="652">
      <c r="B652" s="76"/>
      <c r="C652" s="76"/>
      <c r="D652" s="76"/>
      <c r="E652" s="76"/>
      <c r="F652" s="76"/>
      <c r="G652" s="76"/>
      <c r="H652" s="76"/>
    </row>
    <row r="653">
      <c r="B653" s="76"/>
      <c r="C653" s="76"/>
      <c r="D653" s="76"/>
      <c r="E653" s="76"/>
      <c r="F653" s="76"/>
      <c r="G653" s="76"/>
      <c r="H653" s="76"/>
    </row>
    <row r="654">
      <c r="B654" s="76"/>
      <c r="C654" s="76"/>
      <c r="D654" s="76"/>
      <c r="E654" s="76"/>
      <c r="F654" s="76"/>
      <c r="G654" s="76"/>
      <c r="H654" s="76"/>
    </row>
    <row r="655">
      <c r="B655" s="76"/>
      <c r="C655" s="76"/>
      <c r="D655" s="76"/>
      <c r="E655" s="76"/>
      <c r="F655" s="76"/>
      <c r="G655" s="76"/>
      <c r="H655" s="76"/>
    </row>
    <row r="656">
      <c r="B656" s="76"/>
      <c r="C656" s="76"/>
      <c r="D656" s="76"/>
      <c r="E656" s="76"/>
      <c r="F656" s="76"/>
      <c r="G656" s="76"/>
      <c r="H656" s="76"/>
    </row>
    <row r="657">
      <c r="B657" s="76"/>
      <c r="C657" s="76"/>
      <c r="D657" s="76"/>
      <c r="E657" s="76"/>
      <c r="F657" s="76"/>
      <c r="G657" s="76"/>
      <c r="H657" s="76"/>
    </row>
    <row r="658">
      <c r="B658" s="76"/>
      <c r="C658" s="76"/>
      <c r="D658" s="76"/>
      <c r="E658" s="76"/>
      <c r="F658" s="76"/>
      <c r="G658" s="76"/>
      <c r="H658" s="76"/>
    </row>
    <row r="659">
      <c r="B659" s="76"/>
      <c r="C659" s="76"/>
      <c r="D659" s="76"/>
      <c r="E659" s="76"/>
      <c r="F659" s="76"/>
      <c r="G659" s="76"/>
      <c r="H659" s="76"/>
    </row>
    <row r="660">
      <c r="B660" s="76"/>
      <c r="C660" s="76"/>
      <c r="D660" s="76"/>
      <c r="E660" s="76"/>
      <c r="F660" s="76"/>
      <c r="G660" s="76"/>
      <c r="H660" s="76"/>
    </row>
    <row r="661">
      <c r="B661" s="76"/>
      <c r="C661" s="76"/>
      <c r="D661" s="76"/>
      <c r="E661" s="76"/>
      <c r="F661" s="76"/>
      <c r="G661" s="76"/>
      <c r="H661" s="76"/>
    </row>
    <row r="662">
      <c r="B662" s="76"/>
      <c r="C662" s="76"/>
      <c r="D662" s="76"/>
      <c r="E662" s="76"/>
      <c r="F662" s="76"/>
      <c r="G662" s="76"/>
      <c r="H662" s="76"/>
    </row>
    <row r="663">
      <c r="B663" s="76"/>
      <c r="C663" s="76"/>
      <c r="D663" s="76"/>
      <c r="E663" s="76"/>
      <c r="F663" s="76"/>
      <c r="G663" s="76"/>
      <c r="H663" s="76"/>
    </row>
    <row r="664">
      <c r="B664" s="76"/>
      <c r="C664" s="76"/>
      <c r="D664" s="76"/>
      <c r="E664" s="76"/>
      <c r="F664" s="76"/>
      <c r="G664" s="76"/>
      <c r="H664" s="76"/>
    </row>
    <row r="665">
      <c r="B665" s="76"/>
      <c r="C665" s="76"/>
      <c r="D665" s="76"/>
      <c r="E665" s="76"/>
      <c r="F665" s="76"/>
      <c r="G665" s="76"/>
      <c r="H665" s="76"/>
    </row>
    <row r="666">
      <c r="B666" s="76"/>
      <c r="C666" s="76"/>
      <c r="D666" s="76"/>
      <c r="E666" s="76"/>
      <c r="F666" s="76"/>
      <c r="G666" s="76"/>
      <c r="H666" s="76"/>
    </row>
    <row r="667">
      <c r="B667" s="76"/>
      <c r="C667" s="76"/>
      <c r="D667" s="76"/>
      <c r="E667" s="76"/>
      <c r="F667" s="76"/>
      <c r="G667" s="76"/>
      <c r="H667" s="76"/>
    </row>
    <row r="668">
      <c r="B668" s="76"/>
      <c r="C668" s="76"/>
      <c r="D668" s="76"/>
      <c r="E668" s="76"/>
      <c r="F668" s="76"/>
      <c r="G668" s="76"/>
      <c r="H668" s="76"/>
    </row>
    <row r="669">
      <c r="B669" s="76"/>
      <c r="C669" s="76"/>
      <c r="D669" s="76"/>
      <c r="E669" s="76"/>
      <c r="F669" s="76"/>
      <c r="G669" s="76"/>
      <c r="H669" s="76"/>
    </row>
    <row r="670">
      <c r="B670" s="76"/>
      <c r="C670" s="76"/>
      <c r="D670" s="76"/>
      <c r="E670" s="76"/>
      <c r="F670" s="76"/>
      <c r="G670" s="76"/>
      <c r="H670" s="76"/>
    </row>
    <row r="671">
      <c r="B671" s="76"/>
      <c r="C671" s="76"/>
      <c r="D671" s="76"/>
      <c r="E671" s="76"/>
      <c r="F671" s="76"/>
      <c r="G671" s="76"/>
      <c r="H671" s="76"/>
    </row>
    <row r="672">
      <c r="B672" s="76"/>
      <c r="C672" s="76"/>
      <c r="D672" s="76"/>
      <c r="E672" s="76"/>
      <c r="F672" s="76"/>
      <c r="G672" s="76"/>
      <c r="H672" s="76"/>
    </row>
    <row r="673">
      <c r="B673" s="76"/>
      <c r="C673" s="76"/>
      <c r="D673" s="76"/>
      <c r="E673" s="76"/>
      <c r="F673" s="76"/>
      <c r="G673" s="76"/>
      <c r="H673" s="76"/>
    </row>
    <row r="674">
      <c r="B674" s="76"/>
      <c r="C674" s="76"/>
      <c r="D674" s="76"/>
      <c r="E674" s="76"/>
      <c r="F674" s="76"/>
      <c r="G674" s="76"/>
      <c r="H674" s="76"/>
    </row>
    <row r="675">
      <c r="B675" s="76"/>
      <c r="C675" s="76"/>
      <c r="D675" s="76"/>
      <c r="E675" s="76"/>
      <c r="F675" s="76"/>
      <c r="G675" s="76"/>
      <c r="H675" s="76"/>
    </row>
    <row r="676">
      <c r="B676" s="76"/>
      <c r="C676" s="76"/>
      <c r="D676" s="76"/>
      <c r="E676" s="76"/>
      <c r="F676" s="76"/>
      <c r="G676" s="76"/>
      <c r="H676" s="76"/>
    </row>
    <row r="677">
      <c r="B677" s="76"/>
      <c r="C677" s="76"/>
      <c r="D677" s="76"/>
      <c r="E677" s="76"/>
      <c r="F677" s="76"/>
      <c r="G677" s="76"/>
      <c r="H677" s="76"/>
    </row>
    <row r="678">
      <c r="B678" s="76"/>
      <c r="C678" s="76"/>
      <c r="D678" s="76"/>
      <c r="E678" s="76"/>
      <c r="F678" s="76"/>
      <c r="G678" s="76"/>
      <c r="H678" s="76"/>
    </row>
    <row r="679">
      <c r="B679" s="76"/>
      <c r="C679" s="76"/>
      <c r="D679" s="76"/>
      <c r="E679" s="76"/>
      <c r="F679" s="76"/>
      <c r="G679" s="76"/>
      <c r="H679" s="76"/>
    </row>
    <row r="680">
      <c r="B680" s="76"/>
      <c r="C680" s="76"/>
      <c r="D680" s="76"/>
      <c r="E680" s="76"/>
      <c r="F680" s="76"/>
      <c r="G680" s="76"/>
      <c r="H680" s="76"/>
    </row>
    <row r="681">
      <c r="B681" s="76"/>
      <c r="C681" s="76"/>
      <c r="D681" s="76"/>
      <c r="E681" s="76"/>
      <c r="F681" s="76"/>
      <c r="G681" s="76"/>
      <c r="H681" s="76"/>
    </row>
    <row r="682">
      <c r="B682" s="76"/>
      <c r="C682" s="76"/>
      <c r="D682" s="76"/>
      <c r="E682" s="76"/>
      <c r="F682" s="76"/>
      <c r="G682" s="76"/>
      <c r="H682" s="76"/>
    </row>
    <row r="683">
      <c r="B683" s="76"/>
      <c r="C683" s="76"/>
      <c r="D683" s="76"/>
      <c r="E683" s="76"/>
      <c r="F683" s="76"/>
      <c r="G683" s="76"/>
      <c r="H683" s="76"/>
    </row>
    <row r="684">
      <c r="B684" s="76"/>
      <c r="C684" s="76"/>
      <c r="D684" s="76"/>
      <c r="E684" s="76"/>
      <c r="F684" s="76"/>
      <c r="G684" s="76"/>
      <c r="H684" s="76"/>
    </row>
    <row r="685">
      <c r="B685" s="76"/>
      <c r="C685" s="76"/>
      <c r="D685" s="76"/>
      <c r="E685" s="76"/>
      <c r="F685" s="76"/>
      <c r="G685" s="76"/>
      <c r="H685" s="76"/>
    </row>
    <row r="686">
      <c r="B686" s="76"/>
      <c r="C686" s="76"/>
      <c r="D686" s="76"/>
      <c r="E686" s="76"/>
      <c r="F686" s="76"/>
      <c r="G686" s="76"/>
      <c r="H686" s="76"/>
    </row>
    <row r="687">
      <c r="B687" s="76"/>
      <c r="C687" s="76"/>
      <c r="D687" s="76"/>
      <c r="E687" s="76"/>
      <c r="F687" s="76"/>
      <c r="G687" s="76"/>
      <c r="H687" s="76"/>
    </row>
    <row r="688">
      <c r="B688" s="76"/>
      <c r="C688" s="76"/>
      <c r="D688" s="76"/>
      <c r="E688" s="76"/>
      <c r="F688" s="76"/>
      <c r="G688" s="76"/>
      <c r="H688" s="76"/>
    </row>
    <row r="689">
      <c r="B689" s="76"/>
      <c r="C689" s="76"/>
      <c r="D689" s="76"/>
      <c r="E689" s="76"/>
      <c r="F689" s="76"/>
      <c r="G689" s="76"/>
      <c r="H689" s="76"/>
    </row>
    <row r="690">
      <c r="B690" s="76"/>
      <c r="C690" s="76"/>
      <c r="D690" s="76"/>
      <c r="E690" s="76"/>
      <c r="F690" s="76"/>
      <c r="G690" s="76"/>
      <c r="H690" s="76"/>
    </row>
    <row r="691">
      <c r="B691" s="76"/>
      <c r="C691" s="76"/>
      <c r="D691" s="76"/>
      <c r="E691" s="76"/>
      <c r="F691" s="76"/>
      <c r="G691" s="76"/>
      <c r="H691" s="76"/>
    </row>
    <row r="692">
      <c r="B692" s="76"/>
      <c r="C692" s="76"/>
      <c r="D692" s="76"/>
      <c r="E692" s="76"/>
      <c r="F692" s="76"/>
      <c r="G692" s="76"/>
      <c r="H692" s="76"/>
    </row>
    <row r="693">
      <c r="B693" s="76"/>
      <c r="C693" s="76"/>
      <c r="D693" s="76"/>
      <c r="E693" s="76"/>
      <c r="F693" s="76"/>
      <c r="G693" s="76"/>
      <c r="H693" s="76"/>
    </row>
    <row r="694">
      <c r="B694" s="76"/>
      <c r="C694" s="76"/>
      <c r="D694" s="76"/>
      <c r="E694" s="76"/>
      <c r="F694" s="76"/>
      <c r="G694" s="76"/>
      <c r="H694" s="76"/>
    </row>
    <row r="695">
      <c r="B695" s="76"/>
      <c r="C695" s="76"/>
      <c r="D695" s="76"/>
      <c r="E695" s="76"/>
      <c r="F695" s="76"/>
      <c r="G695" s="76"/>
      <c r="H695" s="76"/>
    </row>
    <row r="696">
      <c r="B696" s="76"/>
      <c r="C696" s="76"/>
      <c r="D696" s="76"/>
      <c r="E696" s="76"/>
      <c r="F696" s="76"/>
      <c r="G696" s="76"/>
      <c r="H696" s="76"/>
    </row>
    <row r="697">
      <c r="B697" s="76"/>
      <c r="C697" s="76"/>
      <c r="D697" s="76"/>
      <c r="E697" s="76"/>
      <c r="F697" s="76"/>
      <c r="G697" s="76"/>
      <c r="H697" s="76"/>
    </row>
    <row r="698">
      <c r="B698" s="76"/>
      <c r="C698" s="76"/>
      <c r="D698" s="76"/>
      <c r="E698" s="76"/>
      <c r="F698" s="76"/>
      <c r="G698" s="76"/>
      <c r="H698" s="76"/>
    </row>
    <row r="699">
      <c r="B699" s="76"/>
      <c r="C699" s="76"/>
      <c r="D699" s="76"/>
      <c r="E699" s="76"/>
      <c r="F699" s="76"/>
      <c r="G699" s="76"/>
      <c r="H699" s="76"/>
    </row>
    <row r="700">
      <c r="B700" s="76"/>
      <c r="C700" s="76"/>
      <c r="D700" s="76"/>
      <c r="E700" s="76"/>
      <c r="F700" s="76"/>
      <c r="G700" s="76"/>
      <c r="H700" s="76"/>
    </row>
    <row r="701">
      <c r="B701" s="76"/>
      <c r="C701" s="76"/>
      <c r="D701" s="76"/>
      <c r="E701" s="76"/>
      <c r="F701" s="76"/>
      <c r="G701" s="76"/>
      <c r="H701" s="76"/>
    </row>
    <row r="702">
      <c r="B702" s="76"/>
      <c r="C702" s="76"/>
      <c r="D702" s="76"/>
      <c r="E702" s="76"/>
      <c r="F702" s="76"/>
      <c r="G702" s="76"/>
      <c r="H702" s="76"/>
    </row>
    <row r="703">
      <c r="B703" s="76"/>
      <c r="C703" s="76"/>
      <c r="D703" s="76"/>
      <c r="E703" s="76"/>
      <c r="F703" s="76"/>
      <c r="G703" s="76"/>
      <c r="H703" s="76"/>
    </row>
    <row r="704">
      <c r="B704" s="76"/>
      <c r="C704" s="76"/>
      <c r="D704" s="76"/>
      <c r="E704" s="76"/>
      <c r="F704" s="76"/>
      <c r="G704" s="76"/>
      <c r="H704" s="76"/>
    </row>
    <row r="705">
      <c r="B705" s="76"/>
      <c r="C705" s="76"/>
      <c r="D705" s="76"/>
      <c r="E705" s="76"/>
      <c r="F705" s="76"/>
      <c r="G705" s="76"/>
      <c r="H705" s="76"/>
    </row>
    <row r="706">
      <c r="B706" s="76"/>
      <c r="C706" s="76"/>
      <c r="D706" s="76"/>
      <c r="E706" s="76"/>
      <c r="F706" s="76"/>
      <c r="G706" s="76"/>
      <c r="H706" s="76"/>
    </row>
    <row r="707">
      <c r="B707" s="76"/>
      <c r="C707" s="76"/>
      <c r="D707" s="76"/>
      <c r="E707" s="76"/>
      <c r="F707" s="76"/>
      <c r="G707" s="76"/>
      <c r="H707" s="76"/>
    </row>
    <row r="708">
      <c r="B708" s="76"/>
      <c r="C708" s="76"/>
      <c r="D708" s="76"/>
      <c r="E708" s="76"/>
      <c r="F708" s="76"/>
      <c r="G708" s="76"/>
      <c r="H708" s="76"/>
    </row>
    <row r="709">
      <c r="B709" s="76"/>
      <c r="C709" s="76"/>
      <c r="D709" s="76"/>
      <c r="E709" s="76"/>
      <c r="F709" s="76"/>
      <c r="G709" s="76"/>
      <c r="H709" s="76"/>
    </row>
    <row r="710">
      <c r="B710" s="76"/>
      <c r="C710" s="76"/>
      <c r="D710" s="76"/>
      <c r="E710" s="76"/>
      <c r="F710" s="76"/>
      <c r="G710" s="76"/>
      <c r="H710" s="76"/>
    </row>
    <row r="711">
      <c r="B711" s="76"/>
      <c r="C711" s="76"/>
      <c r="D711" s="76"/>
      <c r="E711" s="76"/>
      <c r="F711" s="76"/>
      <c r="G711" s="76"/>
      <c r="H711" s="76"/>
    </row>
    <row r="712">
      <c r="B712" s="76"/>
      <c r="C712" s="76"/>
      <c r="D712" s="76"/>
      <c r="E712" s="76"/>
      <c r="F712" s="76"/>
      <c r="G712" s="76"/>
      <c r="H712" s="76"/>
    </row>
    <row r="713">
      <c r="B713" s="76"/>
      <c r="C713" s="76"/>
      <c r="D713" s="76"/>
      <c r="E713" s="76"/>
      <c r="F713" s="76"/>
      <c r="G713" s="76"/>
      <c r="H713" s="76"/>
    </row>
    <row r="714">
      <c r="B714" s="76"/>
      <c r="C714" s="76"/>
      <c r="D714" s="76"/>
      <c r="E714" s="76"/>
      <c r="F714" s="76"/>
      <c r="G714" s="76"/>
      <c r="H714" s="76"/>
    </row>
    <row r="715">
      <c r="B715" s="76"/>
      <c r="C715" s="76"/>
      <c r="D715" s="76"/>
      <c r="E715" s="76"/>
      <c r="F715" s="76"/>
      <c r="G715" s="76"/>
      <c r="H715" s="76"/>
    </row>
    <row r="716">
      <c r="B716" s="76"/>
      <c r="C716" s="76"/>
      <c r="D716" s="76"/>
      <c r="E716" s="76"/>
      <c r="F716" s="76"/>
      <c r="G716" s="76"/>
      <c r="H716" s="76"/>
    </row>
    <row r="717">
      <c r="B717" s="76"/>
      <c r="C717" s="76"/>
      <c r="D717" s="76"/>
      <c r="E717" s="76"/>
      <c r="F717" s="76"/>
      <c r="G717" s="76"/>
      <c r="H717" s="76"/>
    </row>
    <row r="718">
      <c r="B718" s="76"/>
      <c r="C718" s="76"/>
      <c r="D718" s="76"/>
      <c r="E718" s="76"/>
      <c r="F718" s="76"/>
      <c r="G718" s="76"/>
      <c r="H718" s="76"/>
    </row>
    <row r="719">
      <c r="B719" s="76"/>
      <c r="C719" s="76"/>
      <c r="D719" s="76"/>
      <c r="E719" s="76"/>
      <c r="F719" s="76"/>
      <c r="G719" s="76"/>
      <c r="H719" s="76"/>
    </row>
    <row r="720">
      <c r="B720" s="76"/>
      <c r="C720" s="76"/>
      <c r="D720" s="76"/>
      <c r="E720" s="76"/>
      <c r="F720" s="76"/>
      <c r="G720" s="76"/>
      <c r="H720" s="76"/>
    </row>
    <row r="721">
      <c r="B721" s="76"/>
      <c r="C721" s="76"/>
      <c r="D721" s="76"/>
      <c r="E721" s="76"/>
      <c r="F721" s="76"/>
      <c r="G721" s="76"/>
      <c r="H721" s="76"/>
    </row>
    <row r="722">
      <c r="B722" s="76"/>
      <c r="C722" s="76"/>
      <c r="D722" s="76"/>
      <c r="E722" s="76"/>
      <c r="F722" s="76"/>
      <c r="G722" s="76"/>
      <c r="H722" s="76"/>
    </row>
    <row r="723">
      <c r="B723" s="76"/>
      <c r="C723" s="76"/>
      <c r="D723" s="76"/>
      <c r="E723" s="76"/>
      <c r="F723" s="76"/>
      <c r="G723" s="76"/>
      <c r="H723" s="76"/>
    </row>
    <row r="724">
      <c r="B724" s="76"/>
      <c r="C724" s="76"/>
      <c r="D724" s="76"/>
      <c r="E724" s="76"/>
      <c r="F724" s="76"/>
      <c r="G724" s="76"/>
      <c r="H724" s="76"/>
    </row>
    <row r="725">
      <c r="B725" s="76"/>
      <c r="C725" s="76"/>
      <c r="D725" s="76"/>
      <c r="E725" s="76"/>
      <c r="F725" s="76"/>
      <c r="G725" s="76"/>
      <c r="H725" s="76"/>
    </row>
    <row r="726">
      <c r="B726" s="76"/>
      <c r="C726" s="76"/>
      <c r="D726" s="76"/>
      <c r="E726" s="76"/>
      <c r="F726" s="76"/>
      <c r="G726" s="76"/>
      <c r="H726" s="76"/>
    </row>
    <row r="727">
      <c r="B727" s="76"/>
      <c r="C727" s="76"/>
      <c r="D727" s="76"/>
      <c r="E727" s="76"/>
      <c r="F727" s="76"/>
      <c r="G727" s="76"/>
      <c r="H727" s="76"/>
    </row>
    <row r="728">
      <c r="B728" s="76"/>
      <c r="C728" s="76"/>
      <c r="D728" s="76"/>
      <c r="E728" s="76"/>
      <c r="F728" s="76"/>
      <c r="G728" s="76"/>
      <c r="H728" s="76"/>
    </row>
    <row r="729">
      <c r="B729" s="76"/>
      <c r="C729" s="76"/>
      <c r="D729" s="76"/>
      <c r="E729" s="76"/>
      <c r="F729" s="76"/>
      <c r="G729" s="76"/>
      <c r="H729" s="76"/>
    </row>
    <row r="730">
      <c r="B730" s="76"/>
      <c r="C730" s="76"/>
      <c r="D730" s="76"/>
      <c r="E730" s="76"/>
      <c r="F730" s="76"/>
      <c r="G730" s="76"/>
      <c r="H730" s="76"/>
    </row>
    <row r="731">
      <c r="B731" s="76"/>
      <c r="C731" s="76"/>
      <c r="D731" s="76"/>
      <c r="E731" s="76"/>
      <c r="F731" s="76"/>
      <c r="G731" s="76"/>
      <c r="H731" s="76"/>
    </row>
    <row r="732">
      <c r="B732" s="76"/>
      <c r="C732" s="76"/>
      <c r="D732" s="76"/>
      <c r="E732" s="76"/>
      <c r="F732" s="76"/>
      <c r="G732" s="76"/>
      <c r="H732" s="76"/>
    </row>
    <row r="733">
      <c r="B733" s="76"/>
      <c r="C733" s="76"/>
      <c r="D733" s="76"/>
      <c r="E733" s="76"/>
      <c r="F733" s="76"/>
      <c r="G733" s="76"/>
      <c r="H733" s="76"/>
    </row>
    <row r="734">
      <c r="B734" s="76"/>
      <c r="C734" s="76"/>
      <c r="D734" s="76"/>
      <c r="E734" s="76"/>
      <c r="F734" s="76"/>
      <c r="G734" s="76"/>
      <c r="H734" s="76"/>
    </row>
    <row r="735">
      <c r="B735" s="76"/>
      <c r="C735" s="76"/>
      <c r="D735" s="76"/>
      <c r="E735" s="76"/>
      <c r="F735" s="76"/>
      <c r="G735" s="76"/>
      <c r="H735" s="76"/>
    </row>
    <row r="736">
      <c r="B736" s="76"/>
      <c r="C736" s="76"/>
      <c r="D736" s="76"/>
      <c r="E736" s="76"/>
      <c r="F736" s="76"/>
      <c r="G736" s="76"/>
      <c r="H736" s="76"/>
    </row>
    <row r="737">
      <c r="B737" s="76"/>
      <c r="C737" s="76"/>
      <c r="D737" s="76"/>
      <c r="E737" s="76"/>
      <c r="F737" s="76"/>
      <c r="G737" s="76"/>
      <c r="H737" s="76"/>
    </row>
    <row r="738">
      <c r="B738" s="76"/>
      <c r="C738" s="76"/>
      <c r="D738" s="76"/>
      <c r="E738" s="76"/>
      <c r="F738" s="76"/>
      <c r="G738" s="76"/>
      <c r="H738" s="76"/>
    </row>
    <row r="739">
      <c r="B739" s="76"/>
      <c r="C739" s="76"/>
      <c r="D739" s="76"/>
      <c r="E739" s="76"/>
      <c r="F739" s="76"/>
      <c r="G739" s="76"/>
      <c r="H739" s="76"/>
    </row>
    <row r="740">
      <c r="B740" s="76"/>
      <c r="C740" s="76"/>
      <c r="D740" s="76"/>
      <c r="E740" s="76"/>
      <c r="F740" s="76"/>
      <c r="G740" s="76"/>
      <c r="H740" s="76"/>
    </row>
    <row r="741">
      <c r="B741" s="76"/>
      <c r="C741" s="76"/>
      <c r="D741" s="76"/>
      <c r="E741" s="76"/>
      <c r="F741" s="76"/>
      <c r="G741" s="76"/>
      <c r="H741" s="76"/>
    </row>
    <row r="742">
      <c r="B742" s="76"/>
      <c r="C742" s="76"/>
      <c r="D742" s="76"/>
      <c r="E742" s="76"/>
      <c r="F742" s="76"/>
      <c r="G742" s="76"/>
      <c r="H742" s="76"/>
    </row>
    <row r="743">
      <c r="B743" s="76"/>
      <c r="C743" s="76"/>
      <c r="D743" s="76"/>
      <c r="E743" s="76"/>
      <c r="F743" s="76"/>
      <c r="G743" s="76"/>
      <c r="H743" s="76"/>
    </row>
    <row r="744">
      <c r="B744" s="76"/>
      <c r="C744" s="76"/>
      <c r="D744" s="76"/>
      <c r="E744" s="76"/>
      <c r="F744" s="76"/>
      <c r="G744" s="76"/>
      <c r="H744" s="76"/>
    </row>
    <row r="745">
      <c r="B745" s="76"/>
      <c r="C745" s="76"/>
      <c r="D745" s="76"/>
      <c r="E745" s="76"/>
      <c r="F745" s="76"/>
      <c r="G745" s="76"/>
      <c r="H745" s="76"/>
    </row>
    <row r="746">
      <c r="B746" s="76"/>
      <c r="C746" s="76"/>
      <c r="D746" s="76"/>
      <c r="E746" s="76"/>
      <c r="F746" s="76"/>
      <c r="G746" s="76"/>
      <c r="H746" s="76"/>
    </row>
    <row r="747">
      <c r="B747" s="76"/>
      <c r="C747" s="76"/>
      <c r="D747" s="76"/>
      <c r="E747" s="76"/>
      <c r="F747" s="76"/>
      <c r="G747" s="76"/>
      <c r="H747" s="76"/>
    </row>
    <row r="748">
      <c r="B748" s="76"/>
      <c r="C748" s="76"/>
      <c r="D748" s="76"/>
      <c r="E748" s="76"/>
      <c r="F748" s="76"/>
      <c r="G748" s="76"/>
      <c r="H748" s="76"/>
    </row>
    <row r="749">
      <c r="B749" s="76"/>
      <c r="C749" s="76"/>
      <c r="D749" s="76"/>
      <c r="E749" s="76"/>
      <c r="F749" s="76"/>
      <c r="G749" s="76"/>
      <c r="H749" s="76"/>
    </row>
    <row r="750">
      <c r="B750" s="76"/>
      <c r="C750" s="76"/>
      <c r="D750" s="76"/>
      <c r="E750" s="76"/>
      <c r="F750" s="76"/>
      <c r="G750" s="76"/>
      <c r="H750" s="76"/>
    </row>
    <row r="751">
      <c r="B751" s="76"/>
      <c r="C751" s="76"/>
      <c r="D751" s="76"/>
      <c r="E751" s="76"/>
      <c r="F751" s="76"/>
      <c r="G751" s="76"/>
      <c r="H751" s="76"/>
    </row>
    <row r="752">
      <c r="B752" s="76"/>
      <c r="C752" s="76"/>
      <c r="D752" s="76"/>
      <c r="E752" s="76"/>
      <c r="F752" s="76"/>
      <c r="G752" s="76"/>
      <c r="H752" s="76"/>
    </row>
    <row r="753">
      <c r="B753" s="76"/>
      <c r="C753" s="76"/>
      <c r="D753" s="76"/>
      <c r="E753" s="76"/>
      <c r="F753" s="76"/>
      <c r="G753" s="76"/>
      <c r="H753" s="76"/>
    </row>
    <row r="754">
      <c r="B754" s="76"/>
      <c r="C754" s="76"/>
      <c r="D754" s="76"/>
      <c r="E754" s="76"/>
      <c r="F754" s="76"/>
      <c r="G754" s="76"/>
      <c r="H754" s="76"/>
    </row>
    <row r="755">
      <c r="B755" s="76"/>
      <c r="C755" s="76"/>
      <c r="D755" s="76"/>
      <c r="E755" s="76"/>
      <c r="F755" s="76"/>
      <c r="G755" s="76"/>
      <c r="H755" s="76"/>
    </row>
    <row r="756">
      <c r="B756" s="76"/>
      <c r="C756" s="76"/>
      <c r="D756" s="76"/>
      <c r="E756" s="76"/>
      <c r="F756" s="76"/>
      <c r="G756" s="76"/>
      <c r="H756" s="76"/>
    </row>
    <row r="757">
      <c r="B757" s="76"/>
      <c r="C757" s="76"/>
      <c r="D757" s="76"/>
      <c r="E757" s="76"/>
      <c r="F757" s="76"/>
      <c r="G757" s="76"/>
      <c r="H757" s="76"/>
    </row>
    <row r="758">
      <c r="B758" s="76"/>
      <c r="C758" s="76"/>
      <c r="D758" s="76"/>
      <c r="E758" s="76"/>
      <c r="F758" s="76"/>
      <c r="G758" s="76"/>
      <c r="H758" s="76"/>
    </row>
    <row r="759">
      <c r="B759" s="76"/>
      <c r="C759" s="76"/>
      <c r="D759" s="76"/>
      <c r="E759" s="76"/>
      <c r="F759" s="76"/>
      <c r="G759" s="76"/>
      <c r="H759" s="76"/>
    </row>
    <row r="760">
      <c r="B760" s="76"/>
      <c r="C760" s="76"/>
      <c r="D760" s="76"/>
      <c r="E760" s="76"/>
      <c r="F760" s="76"/>
      <c r="G760" s="76"/>
      <c r="H760" s="76"/>
    </row>
    <row r="761">
      <c r="B761" s="76"/>
      <c r="C761" s="76"/>
      <c r="D761" s="76"/>
      <c r="E761" s="76"/>
      <c r="F761" s="76"/>
      <c r="G761" s="76"/>
      <c r="H761" s="76"/>
    </row>
    <row r="762">
      <c r="B762" s="76"/>
      <c r="C762" s="76"/>
      <c r="D762" s="76"/>
      <c r="E762" s="76"/>
      <c r="F762" s="76"/>
      <c r="G762" s="76"/>
      <c r="H762" s="76"/>
    </row>
    <row r="763">
      <c r="B763" s="76"/>
      <c r="C763" s="76"/>
      <c r="D763" s="76"/>
      <c r="E763" s="76"/>
      <c r="F763" s="76"/>
      <c r="G763" s="76"/>
      <c r="H763" s="76"/>
    </row>
    <row r="764">
      <c r="B764" s="76"/>
      <c r="C764" s="76"/>
      <c r="D764" s="76"/>
      <c r="E764" s="76"/>
      <c r="F764" s="76"/>
      <c r="G764" s="76"/>
      <c r="H764" s="76"/>
    </row>
    <row r="765">
      <c r="B765" s="76"/>
      <c r="C765" s="76"/>
      <c r="D765" s="76"/>
      <c r="E765" s="76"/>
      <c r="F765" s="76"/>
      <c r="G765" s="76"/>
      <c r="H765" s="76"/>
    </row>
    <row r="766">
      <c r="B766" s="76"/>
      <c r="C766" s="76"/>
      <c r="D766" s="76"/>
      <c r="E766" s="76"/>
      <c r="F766" s="76"/>
      <c r="G766" s="76"/>
      <c r="H766" s="76"/>
    </row>
    <row r="767">
      <c r="B767" s="76"/>
      <c r="C767" s="76"/>
      <c r="D767" s="76"/>
      <c r="E767" s="76"/>
      <c r="F767" s="76"/>
      <c r="G767" s="76"/>
      <c r="H767" s="76"/>
    </row>
    <row r="768">
      <c r="B768" s="76"/>
      <c r="C768" s="76"/>
      <c r="D768" s="76"/>
      <c r="E768" s="76"/>
      <c r="F768" s="76"/>
      <c r="G768" s="76"/>
      <c r="H768" s="76"/>
    </row>
    <row r="769">
      <c r="B769" s="76"/>
      <c r="C769" s="76"/>
      <c r="D769" s="76"/>
      <c r="E769" s="76"/>
      <c r="F769" s="76"/>
      <c r="G769" s="76"/>
      <c r="H769" s="76"/>
    </row>
    <row r="770">
      <c r="B770" s="76"/>
      <c r="C770" s="76"/>
      <c r="D770" s="76"/>
      <c r="E770" s="76"/>
      <c r="F770" s="76"/>
      <c r="G770" s="76"/>
      <c r="H770" s="76"/>
    </row>
    <row r="771">
      <c r="B771" s="76"/>
      <c r="C771" s="76"/>
      <c r="D771" s="76"/>
      <c r="E771" s="76"/>
      <c r="F771" s="76"/>
      <c r="G771" s="76"/>
      <c r="H771" s="76"/>
    </row>
    <row r="772">
      <c r="B772" s="76"/>
      <c r="C772" s="76"/>
      <c r="D772" s="76"/>
      <c r="E772" s="76"/>
      <c r="F772" s="76"/>
      <c r="G772" s="76"/>
      <c r="H772" s="76"/>
    </row>
    <row r="773">
      <c r="B773" s="76"/>
      <c r="C773" s="76"/>
      <c r="D773" s="76"/>
      <c r="E773" s="76"/>
      <c r="F773" s="76"/>
      <c r="G773" s="76"/>
      <c r="H773" s="76"/>
    </row>
    <row r="774">
      <c r="B774" s="76"/>
      <c r="C774" s="76"/>
      <c r="D774" s="76"/>
      <c r="E774" s="76"/>
      <c r="F774" s="76"/>
      <c r="G774" s="76"/>
      <c r="H774" s="76"/>
    </row>
    <row r="775">
      <c r="B775" s="76"/>
      <c r="C775" s="76"/>
      <c r="D775" s="76"/>
      <c r="E775" s="76"/>
      <c r="F775" s="76"/>
      <c r="G775" s="76"/>
      <c r="H775" s="76"/>
    </row>
    <row r="776">
      <c r="B776" s="76"/>
      <c r="C776" s="76"/>
      <c r="D776" s="76"/>
      <c r="E776" s="76"/>
      <c r="F776" s="76"/>
      <c r="G776" s="76"/>
      <c r="H776" s="76"/>
    </row>
    <row r="777">
      <c r="B777" s="76"/>
      <c r="C777" s="76"/>
      <c r="D777" s="76"/>
      <c r="E777" s="76"/>
      <c r="F777" s="76"/>
      <c r="G777" s="76"/>
      <c r="H777" s="76"/>
    </row>
    <row r="778">
      <c r="B778" s="76"/>
      <c r="C778" s="76"/>
      <c r="D778" s="76"/>
      <c r="E778" s="76"/>
      <c r="F778" s="76"/>
      <c r="G778" s="76"/>
      <c r="H778" s="76"/>
    </row>
    <row r="779">
      <c r="B779" s="76"/>
      <c r="C779" s="76"/>
      <c r="D779" s="76"/>
      <c r="E779" s="76"/>
      <c r="F779" s="76"/>
      <c r="G779" s="76"/>
      <c r="H779" s="76"/>
    </row>
    <row r="780">
      <c r="B780" s="76"/>
      <c r="C780" s="76"/>
      <c r="D780" s="76"/>
      <c r="E780" s="76"/>
      <c r="F780" s="76"/>
      <c r="G780" s="76"/>
      <c r="H780" s="76"/>
    </row>
    <row r="781">
      <c r="B781" s="76"/>
      <c r="C781" s="76"/>
      <c r="D781" s="76"/>
      <c r="E781" s="76"/>
      <c r="F781" s="76"/>
      <c r="G781" s="76"/>
      <c r="H781" s="76"/>
    </row>
    <row r="782">
      <c r="B782" s="76"/>
      <c r="C782" s="76"/>
      <c r="D782" s="76"/>
      <c r="E782" s="76"/>
      <c r="F782" s="76"/>
      <c r="G782" s="76"/>
      <c r="H782" s="76"/>
    </row>
    <row r="783">
      <c r="B783" s="76"/>
      <c r="C783" s="76"/>
      <c r="D783" s="76"/>
      <c r="E783" s="76"/>
      <c r="F783" s="76"/>
      <c r="G783" s="76"/>
      <c r="H783" s="76"/>
    </row>
    <row r="784">
      <c r="B784" s="76"/>
      <c r="C784" s="76"/>
      <c r="D784" s="76"/>
      <c r="E784" s="76"/>
      <c r="F784" s="76"/>
      <c r="G784" s="76"/>
      <c r="H784" s="76"/>
    </row>
    <row r="785">
      <c r="B785" s="76"/>
      <c r="C785" s="76"/>
      <c r="D785" s="76"/>
      <c r="E785" s="76"/>
      <c r="F785" s="76"/>
      <c r="G785" s="76"/>
      <c r="H785" s="76"/>
    </row>
    <row r="786">
      <c r="B786" s="76"/>
      <c r="C786" s="76"/>
      <c r="D786" s="76"/>
      <c r="E786" s="76"/>
      <c r="F786" s="76"/>
      <c r="G786" s="76"/>
      <c r="H786" s="76"/>
    </row>
    <row r="787">
      <c r="B787" s="76"/>
      <c r="C787" s="76"/>
      <c r="D787" s="76"/>
      <c r="E787" s="76"/>
      <c r="F787" s="76"/>
      <c r="G787" s="76"/>
      <c r="H787" s="76"/>
    </row>
    <row r="788">
      <c r="B788" s="76"/>
      <c r="C788" s="76"/>
      <c r="D788" s="76"/>
      <c r="E788" s="76"/>
      <c r="F788" s="76"/>
      <c r="G788" s="76"/>
      <c r="H788" s="76"/>
    </row>
    <row r="789">
      <c r="B789" s="76"/>
      <c r="C789" s="76"/>
      <c r="D789" s="76"/>
      <c r="E789" s="76"/>
      <c r="F789" s="76"/>
      <c r="G789" s="76"/>
      <c r="H789" s="76"/>
    </row>
    <row r="790">
      <c r="B790" s="76"/>
      <c r="C790" s="76"/>
      <c r="D790" s="76"/>
      <c r="E790" s="76"/>
      <c r="F790" s="76"/>
      <c r="G790" s="76"/>
      <c r="H790" s="76"/>
    </row>
    <row r="791">
      <c r="B791" s="76"/>
      <c r="C791" s="76"/>
      <c r="D791" s="76"/>
      <c r="E791" s="76"/>
      <c r="F791" s="76"/>
      <c r="G791" s="76"/>
      <c r="H791" s="76"/>
    </row>
    <row r="792">
      <c r="B792" s="76"/>
      <c r="C792" s="76"/>
      <c r="D792" s="76"/>
      <c r="E792" s="76"/>
      <c r="F792" s="76"/>
      <c r="G792" s="76"/>
      <c r="H792" s="76"/>
    </row>
    <row r="793">
      <c r="B793" s="76"/>
      <c r="C793" s="76"/>
      <c r="D793" s="76"/>
      <c r="E793" s="76"/>
      <c r="F793" s="76"/>
      <c r="G793" s="76"/>
      <c r="H793" s="76"/>
    </row>
    <row r="794">
      <c r="B794" s="76"/>
      <c r="C794" s="76"/>
      <c r="D794" s="76"/>
      <c r="E794" s="76"/>
      <c r="F794" s="76"/>
      <c r="G794" s="76"/>
      <c r="H794" s="76"/>
    </row>
    <row r="795">
      <c r="B795" s="76"/>
      <c r="C795" s="76"/>
      <c r="D795" s="76"/>
      <c r="E795" s="76"/>
      <c r="F795" s="76"/>
      <c r="G795" s="76"/>
      <c r="H795" s="76"/>
    </row>
    <row r="796">
      <c r="B796" s="76"/>
      <c r="C796" s="76"/>
      <c r="D796" s="76"/>
      <c r="E796" s="76"/>
      <c r="F796" s="76"/>
      <c r="G796" s="76"/>
      <c r="H796" s="76"/>
    </row>
    <row r="797">
      <c r="B797" s="76"/>
      <c r="C797" s="76"/>
      <c r="D797" s="76"/>
      <c r="E797" s="76"/>
      <c r="F797" s="76"/>
      <c r="G797" s="76"/>
      <c r="H797" s="76"/>
    </row>
    <row r="798">
      <c r="B798" s="76"/>
      <c r="C798" s="76"/>
      <c r="D798" s="76"/>
      <c r="E798" s="76"/>
      <c r="F798" s="76"/>
      <c r="G798" s="76"/>
      <c r="H798" s="76"/>
    </row>
    <row r="799">
      <c r="B799" s="76"/>
      <c r="C799" s="76"/>
      <c r="D799" s="76"/>
      <c r="E799" s="76"/>
      <c r="F799" s="76"/>
      <c r="G799" s="76"/>
      <c r="H799" s="76"/>
    </row>
    <row r="800">
      <c r="B800" s="76"/>
      <c r="C800" s="76"/>
      <c r="D800" s="76"/>
      <c r="E800" s="76"/>
      <c r="F800" s="76"/>
      <c r="G800" s="76"/>
      <c r="H800" s="76"/>
    </row>
    <row r="801">
      <c r="B801" s="76"/>
      <c r="C801" s="76"/>
      <c r="D801" s="76"/>
      <c r="E801" s="76"/>
      <c r="F801" s="76"/>
      <c r="G801" s="76"/>
      <c r="H801" s="76"/>
    </row>
    <row r="802">
      <c r="B802" s="76"/>
      <c r="C802" s="76"/>
      <c r="D802" s="76"/>
      <c r="E802" s="76"/>
      <c r="F802" s="76"/>
      <c r="G802" s="76"/>
      <c r="H802" s="76"/>
    </row>
    <row r="803">
      <c r="B803" s="76"/>
      <c r="C803" s="76"/>
      <c r="D803" s="76"/>
      <c r="E803" s="76"/>
      <c r="F803" s="76"/>
      <c r="G803" s="76"/>
      <c r="H803" s="76"/>
    </row>
    <row r="804">
      <c r="B804" s="76"/>
      <c r="C804" s="76"/>
      <c r="D804" s="76"/>
      <c r="E804" s="76"/>
      <c r="F804" s="76"/>
      <c r="G804" s="76"/>
      <c r="H804" s="76"/>
    </row>
    <row r="805">
      <c r="B805" s="76"/>
      <c r="C805" s="76"/>
      <c r="D805" s="76"/>
      <c r="E805" s="76"/>
      <c r="F805" s="76"/>
      <c r="G805" s="76"/>
      <c r="H805" s="76"/>
    </row>
    <row r="806">
      <c r="B806" s="76"/>
      <c r="C806" s="76"/>
      <c r="D806" s="76"/>
      <c r="E806" s="76"/>
      <c r="F806" s="76"/>
      <c r="G806" s="76"/>
      <c r="H806" s="76"/>
    </row>
    <row r="807">
      <c r="B807" s="76"/>
      <c r="C807" s="76"/>
      <c r="D807" s="76"/>
      <c r="E807" s="76"/>
      <c r="F807" s="76"/>
      <c r="G807" s="76"/>
      <c r="H807" s="76"/>
    </row>
    <row r="808">
      <c r="B808" s="76"/>
      <c r="C808" s="76"/>
      <c r="D808" s="76"/>
      <c r="E808" s="76"/>
      <c r="F808" s="76"/>
      <c r="G808" s="76"/>
      <c r="H808" s="76"/>
    </row>
    <row r="809">
      <c r="B809" s="76"/>
      <c r="C809" s="76"/>
      <c r="D809" s="76"/>
      <c r="E809" s="76"/>
      <c r="F809" s="76"/>
      <c r="G809" s="76"/>
      <c r="H809" s="76"/>
    </row>
    <row r="810">
      <c r="B810" s="76"/>
      <c r="C810" s="76"/>
      <c r="D810" s="76"/>
      <c r="E810" s="76"/>
      <c r="F810" s="76"/>
      <c r="G810" s="76"/>
      <c r="H810" s="76"/>
    </row>
    <row r="811">
      <c r="B811" s="76"/>
      <c r="C811" s="76"/>
      <c r="D811" s="76"/>
      <c r="E811" s="76"/>
      <c r="F811" s="76"/>
      <c r="G811" s="76"/>
      <c r="H811" s="76"/>
    </row>
    <row r="812">
      <c r="B812" s="76"/>
      <c r="C812" s="76"/>
      <c r="D812" s="76"/>
      <c r="E812" s="76"/>
      <c r="F812" s="76"/>
      <c r="G812" s="76"/>
      <c r="H812" s="76"/>
    </row>
    <row r="813">
      <c r="B813" s="76"/>
      <c r="C813" s="76"/>
      <c r="D813" s="76"/>
      <c r="E813" s="76"/>
      <c r="F813" s="76"/>
      <c r="G813" s="76"/>
      <c r="H813" s="76"/>
    </row>
    <row r="814">
      <c r="B814" s="76"/>
      <c r="C814" s="76"/>
      <c r="D814" s="76"/>
      <c r="E814" s="76"/>
      <c r="F814" s="76"/>
      <c r="G814" s="76"/>
      <c r="H814" s="76"/>
    </row>
    <row r="815">
      <c r="B815" s="76"/>
      <c r="C815" s="76"/>
      <c r="D815" s="76"/>
      <c r="E815" s="76"/>
      <c r="F815" s="76"/>
      <c r="G815" s="76"/>
      <c r="H815" s="76"/>
    </row>
    <row r="816">
      <c r="B816" s="76"/>
      <c r="C816" s="76"/>
      <c r="D816" s="76"/>
      <c r="E816" s="76"/>
      <c r="F816" s="76"/>
      <c r="G816" s="76"/>
      <c r="H816" s="76"/>
    </row>
    <row r="817">
      <c r="B817" s="76"/>
      <c r="C817" s="76"/>
      <c r="D817" s="76"/>
      <c r="E817" s="76"/>
      <c r="F817" s="76"/>
      <c r="G817" s="76"/>
      <c r="H817" s="76"/>
    </row>
    <row r="818">
      <c r="B818" s="76"/>
      <c r="C818" s="76"/>
      <c r="D818" s="76"/>
      <c r="E818" s="76"/>
      <c r="F818" s="76"/>
      <c r="G818" s="76"/>
      <c r="H818" s="76"/>
    </row>
    <row r="819">
      <c r="B819" s="76"/>
      <c r="C819" s="76"/>
      <c r="D819" s="76"/>
      <c r="E819" s="76"/>
      <c r="F819" s="76"/>
      <c r="G819" s="76"/>
      <c r="H819" s="76"/>
    </row>
    <row r="820">
      <c r="B820" s="76"/>
      <c r="C820" s="76"/>
      <c r="D820" s="76"/>
      <c r="E820" s="76"/>
      <c r="F820" s="76"/>
      <c r="G820" s="76"/>
      <c r="H820" s="76"/>
    </row>
    <row r="821">
      <c r="B821" s="76"/>
      <c r="C821" s="76"/>
      <c r="D821" s="76"/>
      <c r="E821" s="76"/>
      <c r="F821" s="76"/>
      <c r="G821" s="76"/>
      <c r="H821" s="76"/>
    </row>
    <row r="822">
      <c r="B822" s="76"/>
      <c r="C822" s="76"/>
      <c r="D822" s="76"/>
      <c r="E822" s="76"/>
      <c r="F822" s="76"/>
      <c r="G822" s="76"/>
      <c r="H822" s="76"/>
    </row>
    <row r="823">
      <c r="B823" s="76"/>
      <c r="C823" s="76"/>
      <c r="D823" s="76"/>
      <c r="E823" s="76"/>
      <c r="F823" s="76"/>
      <c r="G823" s="76"/>
      <c r="H823" s="76"/>
    </row>
    <row r="824">
      <c r="B824" s="76"/>
      <c r="C824" s="76"/>
      <c r="D824" s="76"/>
      <c r="E824" s="76"/>
      <c r="F824" s="76"/>
      <c r="G824" s="76"/>
      <c r="H824" s="76"/>
    </row>
    <row r="825">
      <c r="B825" s="76"/>
      <c r="C825" s="76"/>
      <c r="D825" s="76"/>
      <c r="E825" s="76"/>
      <c r="F825" s="76"/>
      <c r="G825" s="76"/>
      <c r="H825" s="76"/>
    </row>
    <row r="826">
      <c r="B826" s="76"/>
      <c r="C826" s="76"/>
      <c r="D826" s="76"/>
      <c r="E826" s="76"/>
      <c r="F826" s="76"/>
      <c r="G826" s="76"/>
      <c r="H826" s="76"/>
    </row>
    <row r="827">
      <c r="B827" s="76"/>
      <c r="C827" s="76"/>
      <c r="D827" s="76"/>
      <c r="E827" s="76"/>
      <c r="F827" s="76"/>
      <c r="G827" s="76"/>
      <c r="H827" s="76"/>
    </row>
    <row r="828">
      <c r="B828" s="76"/>
      <c r="C828" s="76"/>
      <c r="D828" s="76"/>
      <c r="E828" s="76"/>
      <c r="F828" s="76"/>
      <c r="G828" s="76"/>
      <c r="H828" s="76"/>
    </row>
    <row r="829">
      <c r="B829" s="76"/>
      <c r="C829" s="76"/>
      <c r="D829" s="76"/>
      <c r="E829" s="76"/>
      <c r="F829" s="76"/>
      <c r="G829" s="76"/>
      <c r="H829" s="76"/>
    </row>
    <row r="830">
      <c r="B830" s="76"/>
      <c r="C830" s="76"/>
      <c r="D830" s="76"/>
      <c r="E830" s="76"/>
      <c r="F830" s="76"/>
      <c r="G830" s="76"/>
      <c r="H830" s="76"/>
    </row>
    <row r="831">
      <c r="B831" s="76"/>
      <c r="C831" s="76"/>
      <c r="D831" s="76"/>
      <c r="E831" s="76"/>
      <c r="F831" s="76"/>
      <c r="G831" s="76"/>
      <c r="H831" s="76"/>
    </row>
    <row r="832">
      <c r="B832" s="76"/>
      <c r="C832" s="76"/>
      <c r="D832" s="76"/>
      <c r="E832" s="76"/>
      <c r="F832" s="76"/>
      <c r="G832" s="76"/>
      <c r="H832" s="76"/>
    </row>
    <row r="833">
      <c r="B833" s="76"/>
      <c r="C833" s="76"/>
      <c r="D833" s="76"/>
      <c r="E833" s="76"/>
      <c r="F833" s="76"/>
      <c r="G833" s="76"/>
      <c r="H833" s="76"/>
    </row>
    <row r="834">
      <c r="B834" s="76"/>
      <c r="C834" s="76"/>
      <c r="D834" s="76"/>
      <c r="E834" s="76"/>
      <c r="F834" s="76"/>
      <c r="G834" s="76"/>
      <c r="H834" s="76"/>
    </row>
    <row r="835">
      <c r="B835" s="76"/>
      <c r="C835" s="76"/>
      <c r="D835" s="76"/>
      <c r="E835" s="76"/>
      <c r="F835" s="76"/>
      <c r="G835" s="76"/>
      <c r="H835" s="76"/>
    </row>
    <row r="836">
      <c r="B836" s="76"/>
      <c r="C836" s="76"/>
      <c r="D836" s="76"/>
      <c r="E836" s="76"/>
      <c r="F836" s="76"/>
      <c r="G836" s="76"/>
      <c r="H836" s="76"/>
    </row>
    <row r="837">
      <c r="B837" s="76"/>
      <c r="C837" s="76"/>
      <c r="D837" s="76"/>
      <c r="E837" s="76"/>
      <c r="F837" s="76"/>
      <c r="G837" s="76"/>
      <c r="H837" s="76"/>
    </row>
    <row r="838">
      <c r="B838" s="76"/>
      <c r="C838" s="76"/>
      <c r="D838" s="76"/>
      <c r="E838" s="76"/>
      <c r="F838" s="76"/>
      <c r="G838" s="76"/>
      <c r="H838" s="76"/>
    </row>
    <row r="839">
      <c r="B839" s="76"/>
      <c r="C839" s="76"/>
      <c r="D839" s="76"/>
      <c r="E839" s="76"/>
      <c r="F839" s="76"/>
      <c r="G839" s="76"/>
      <c r="H839" s="76"/>
    </row>
    <row r="840">
      <c r="B840" s="76"/>
      <c r="C840" s="76"/>
      <c r="D840" s="76"/>
      <c r="E840" s="76"/>
      <c r="F840" s="76"/>
      <c r="G840" s="76"/>
      <c r="H840" s="76"/>
    </row>
    <row r="841">
      <c r="B841" s="76"/>
      <c r="C841" s="76"/>
      <c r="D841" s="76"/>
      <c r="E841" s="76"/>
      <c r="F841" s="76"/>
      <c r="G841" s="76"/>
      <c r="H841" s="76"/>
    </row>
    <row r="842">
      <c r="B842" s="76"/>
      <c r="C842" s="76"/>
      <c r="D842" s="76"/>
      <c r="E842" s="76"/>
      <c r="F842" s="76"/>
      <c r="G842" s="76"/>
      <c r="H842" s="76"/>
    </row>
    <row r="843">
      <c r="B843" s="76"/>
      <c r="C843" s="76"/>
      <c r="D843" s="76"/>
      <c r="E843" s="76"/>
      <c r="F843" s="76"/>
      <c r="G843" s="76"/>
      <c r="H843" s="76"/>
    </row>
    <row r="844">
      <c r="B844" s="76"/>
      <c r="C844" s="76"/>
      <c r="D844" s="76"/>
      <c r="E844" s="76"/>
      <c r="F844" s="76"/>
      <c r="G844" s="76"/>
      <c r="H844" s="76"/>
    </row>
    <row r="845">
      <c r="B845" s="76"/>
      <c r="C845" s="76"/>
      <c r="D845" s="76"/>
      <c r="E845" s="76"/>
      <c r="F845" s="76"/>
      <c r="G845" s="76"/>
      <c r="H845" s="76"/>
    </row>
    <row r="846">
      <c r="B846" s="76"/>
      <c r="C846" s="76"/>
      <c r="D846" s="76"/>
      <c r="E846" s="76"/>
      <c r="F846" s="76"/>
      <c r="G846" s="76"/>
      <c r="H846" s="76"/>
    </row>
    <row r="847">
      <c r="B847" s="76"/>
      <c r="C847" s="76"/>
      <c r="D847" s="76"/>
      <c r="E847" s="76"/>
      <c r="F847" s="76"/>
      <c r="G847" s="76"/>
      <c r="H847" s="76"/>
    </row>
    <row r="848">
      <c r="B848" s="76"/>
      <c r="C848" s="76"/>
      <c r="D848" s="76"/>
      <c r="E848" s="76"/>
      <c r="F848" s="76"/>
      <c r="G848" s="76"/>
      <c r="H848" s="76"/>
    </row>
    <row r="849">
      <c r="B849" s="76"/>
      <c r="C849" s="76"/>
      <c r="D849" s="76"/>
      <c r="E849" s="76"/>
      <c r="F849" s="76"/>
      <c r="G849" s="76"/>
      <c r="H849" s="76"/>
    </row>
    <row r="850">
      <c r="B850" s="76"/>
      <c r="C850" s="76"/>
      <c r="D850" s="76"/>
      <c r="E850" s="76"/>
      <c r="F850" s="76"/>
      <c r="G850" s="76"/>
      <c r="H850" s="76"/>
    </row>
    <row r="851">
      <c r="B851" s="76"/>
      <c r="C851" s="76"/>
      <c r="D851" s="76"/>
      <c r="E851" s="76"/>
      <c r="F851" s="76"/>
      <c r="G851" s="76"/>
      <c r="H851" s="76"/>
    </row>
    <row r="852">
      <c r="B852" s="76"/>
      <c r="C852" s="76"/>
      <c r="D852" s="76"/>
      <c r="E852" s="76"/>
      <c r="F852" s="76"/>
      <c r="G852" s="76"/>
      <c r="H852" s="76"/>
    </row>
    <row r="853">
      <c r="B853" s="76"/>
      <c r="C853" s="76"/>
      <c r="D853" s="76"/>
      <c r="E853" s="76"/>
      <c r="F853" s="76"/>
      <c r="G853" s="76"/>
      <c r="H853" s="76"/>
    </row>
    <row r="854">
      <c r="B854" s="76"/>
      <c r="C854" s="76"/>
      <c r="D854" s="76"/>
      <c r="E854" s="76"/>
      <c r="F854" s="76"/>
      <c r="G854" s="76"/>
      <c r="H854" s="76"/>
    </row>
    <row r="855">
      <c r="B855" s="76"/>
      <c r="C855" s="76"/>
      <c r="D855" s="76"/>
      <c r="E855" s="76"/>
      <c r="F855" s="76"/>
      <c r="G855" s="76"/>
      <c r="H855" s="76"/>
    </row>
    <row r="856">
      <c r="B856" s="76"/>
      <c r="C856" s="76"/>
      <c r="D856" s="76"/>
      <c r="E856" s="76"/>
      <c r="F856" s="76"/>
      <c r="G856" s="76"/>
      <c r="H856" s="76"/>
    </row>
    <row r="857">
      <c r="B857" s="76"/>
      <c r="C857" s="76"/>
      <c r="D857" s="76"/>
      <c r="E857" s="76"/>
      <c r="F857" s="76"/>
      <c r="G857" s="76"/>
      <c r="H857" s="76"/>
    </row>
    <row r="858">
      <c r="B858" s="76"/>
      <c r="C858" s="76"/>
      <c r="D858" s="76"/>
      <c r="E858" s="76"/>
      <c r="F858" s="76"/>
      <c r="G858" s="76"/>
      <c r="H858" s="76"/>
    </row>
    <row r="859">
      <c r="B859" s="76"/>
      <c r="C859" s="76"/>
      <c r="D859" s="76"/>
      <c r="E859" s="76"/>
      <c r="F859" s="76"/>
      <c r="G859" s="76"/>
      <c r="H859" s="76"/>
    </row>
    <row r="860">
      <c r="B860" s="76"/>
      <c r="C860" s="76"/>
      <c r="D860" s="76"/>
      <c r="E860" s="76"/>
      <c r="F860" s="76"/>
      <c r="G860" s="76"/>
      <c r="H860" s="76"/>
    </row>
    <row r="861">
      <c r="B861" s="76"/>
      <c r="C861" s="76"/>
      <c r="D861" s="76"/>
      <c r="E861" s="76"/>
      <c r="F861" s="76"/>
      <c r="G861" s="76"/>
      <c r="H861" s="76"/>
    </row>
    <row r="862">
      <c r="B862" s="76"/>
      <c r="C862" s="76"/>
      <c r="D862" s="76"/>
      <c r="E862" s="76"/>
      <c r="F862" s="76"/>
      <c r="G862" s="76"/>
      <c r="H862" s="76"/>
    </row>
    <row r="863">
      <c r="B863" s="76"/>
      <c r="C863" s="76"/>
      <c r="D863" s="76"/>
      <c r="E863" s="76"/>
      <c r="F863" s="76"/>
      <c r="G863" s="76"/>
      <c r="H863" s="76"/>
    </row>
    <row r="864">
      <c r="B864" s="76"/>
      <c r="C864" s="76"/>
      <c r="D864" s="76"/>
      <c r="E864" s="76"/>
      <c r="F864" s="76"/>
      <c r="G864" s="76"/>
      <c r="H864" s="76"/>
    </row>
    <row r="865">
      <c r="B865" s="76"/>
      <c r="C865" s="76"/>
      <c r="D865" s="76"/>
      <c r="E865" s="76"/>
      <c r="F865" s="76"/>
      <c r="G865" s="76"/>
      <c r="H865" s="76"/>
    </row>
    <row r="866">
      <c r="B866" s="76"/>
      <c r="C866" s="76"/>
      <c r="D866" s="76"/>
      <c r="E866" s="76"/>
      <c r="F866" s="76"/>
      <c r="G866" s="76"/>
      <c r="H866" s="76"/>
    </row>
    <row r="867">
      <c r="B867" s="76"/>
      <c r="C867" s="76"/>
      <c r="D867" s="76"/>
      <c r="E867" s="76"/>
      <c r="F867" s="76"/>
      <c r="G867" s="76"/>
      <c r="H867" s="76"/>
    </row>
    <row r="868">
      <c r="B868" s="76"/>
      <c r="C868" s="76"/>
      <c r="D868" s="76"/>
      <c r="E868" s="76"/>
      <c r="F868" s="76"/>
      <c r="G868" s="76"/>
      <c r="H868" s="76"/>
    </row>
    <row r="869">
      <c r="B869" s="76"/>
      <c r="C869" s="76"/>
      <c r="D869" s="76"/>
      <c r="E869" s="76"/>
      <c r="F869" s="76"/>
      <c r="G869" s="76"/>
      <c r="H869" s="76"/>
    </row>
    <row r="870">
      <c r="B870" s="76"/>
      <c r="C870" s="76"/>
      <c r="D870" s="76"/>
      <c r="E870" s="76"/>
      <c r="F870" s="76"/>
      <c r="G870" s="76"/>
      <c r="H870" s="76"/>
    </row>
    <row r="871">
      <c r="B871" s="76"/>
      <c r="C871" s="76"/>
      <c r="D871" s="76"/>
      <c r="E871" s="76"/>
      <c r="F871" s="76"/>
      <c r="G871" s="76"/>
      <c r="H871" s="76"/>
    </row>
    <row r="872">
      <c r="B872" s="76"/>
      <c r="C872" s="76"/>
      <c r="D872" s="76"/>
      <c r="E872" s="76"/>
      <c r="F872" s="76"/>
      <c r="G872" s="76"/>
      <c r="H872" s="76"/>
    </row>
    <row r="873">
      <c r="B873" s="76"/>
      <c r="C873" s="76"/>
      <c r="D873" s="76"/>
      <c r="E873" s="76"/>
      <c r="F873" s="76"/>
      <c r="G873" s="76"/>
      <c r="H873" s="76"/>
    </row>
    <row r="874">
      <c r="B874" s="76"/>
      <c r="C874" s="76"/>
      <c r="D874" s="76"/>
      <c r="E874" s="76"/>
      <c r="F874" s="76"/>
      <c r="G874" s="76"/>
      <c r="H874" s="76"/>
    </row>
    <row r="875">
      <c r="B875" s="76"/>
      <c r="C875" s="76"/>
      <c r="D875" s="76"/>
      <c r="E875" s="76"/>
      <c r="F875" s="76"/>
      <c r="G875" s="76"/>
      <c r="H875" s="76"/>
    </row>
    <row r="876">
      <c r="B876" s="76"/>
      <c r="C876" s="76"/>
      <c r="D876" s="76"/>
      <c r="E876" s="76"/>
      <c r="F876" s="76"/>
      <c r="G876" s="76"/>
      <c r="H876" s="76"/>
    </row>
    <row r="877">
      <c r="B877" s="76"/>
      <c r="C877" s="76"/>
      <c r="D877" s="76"/>
      <c r="E877" s="76"/>
      <c r="F877" s="76"/>
      <c r="G877" s="76"/>
      <c r="H877" s="76"/>
    </row>
    <row r="878">
      <c r="B878" s="76"/>
      <c r="C878" s="76"/>
      <c r="D878" s="76"/>
      <c r="E878" s="76"/>
      <c r="F878" s="76"/>
      <c r="G878" s="76"/>
      <c r="H878" s="76"/>
    </row>
    <row r="879">
      <c r="B879" s="76"/>
      <c r="C879" s="76"/>
      <c r="D879" s="76"/>
      <c r="E879" s="76"/>
      <c r="F879" s="76"/>
      <c r="G879" s="76"/>
      <c r="H879" s="76"/>
    </row>
    <row r="880">
      <c r="B880" s="76"/>
      <c r="C880" s="76"/>
      <c r="D880" s="76"/>
      <c r="E880" s="76"/>
      <c r="F880" s="76"/>
      <c r="G880" s="76"/>
      <c r="H880" s="76"/>
    </row>
    <row r="881">
      <c r="B881" s="76"/>
      <c r="C881" s="76"/>
      <c r="D881" s="76"/>
      <c r="E881" s="76"/>
      <c r="F881" s="76"/>
      <c r="G881" s="76"/>
      <c r="H881" s="76"/>
    </row>
    <row r="882">
      <c r="B882" s="76"/>
      <c r="C882" s="76"/>
      <c r="D882" s="76"/>
      <c r="E882" s="76"/>
      <c r="F882" s="76"/>
      <c r="G882" s="76"/>
      <c r="H882" s="76"/>
    </row>
    <row r="883">
      <c r="B883" s="76"/>
      <c r="C883" s="76"/>
      <c r="D883" s="76"/>
      <c r="E883" s="76"/>
      <c r="F883" s="76"/>
      <c r="G883" s="76"/>
      <c r="H883" s="76"/>
    </row>
    <row r="884">
      <c r="B884" s="76"/>
      <c r="C884" s="76"/>
      <c r="D884" s="76"/>
      <c r="E884" s="76"/>
      <c r="F884" s="76"/>
      <c r="G884" s="76"/>
      <c r="H884" s="76"/>
    </row>
    <row r="885">
      <c r="B885" s="76"/>
      <c r="C885" s="76"/>
      <c r="D885" s="76"/>
      <c r="E885" s="76"/>
      <c r="F885" s="76"/>
      <c r="G885" s="76"/>
      <c r="H885" s="76"/>
    </row>
    <row r="886">
      <c r="B886" s="76"/>
      <c r="C886" s="76"/>
      <c r="D886" s="76"/>
      <c r="E886" s="76"/>
      <c r="F886" s="76"/>
      <c r="G886" s="76"/>
      <c r="H886" s="76"/>
    </row>
    <row r="887">
      <c r="B887" s="76"/>
      <c r="C887" s="76"/>
      <c r="D887" s="76"/>
      <c r="E887" s="76"/>
      <c r="F887" s="76"/>
      <c r="G887" s="76"/>
      <c r="H887" s="76"/>
    </row>
    <row r="888">
      <c r="B888" s="76"/>
      <c r="C888" s="76"/>
      <c r="D888" s="76"/>
      <c r="E888" s="76"/>
      <c r="F888" s="76"/>
      <c r="G888" s="76"/>
      <c r="H888" s="76"/>
    </row>
    <row r="889">
      <c r="B889" s="76"/>
      <c r="C889" s="76"/>
      <c r="D889" s="76"/>
      <c r="E889" s="76"/>
      <c r="F889" s="76"/>
      <c r="G889" s="76"/>
      <c r="H889" s="76"/>
    </row>
    <row r="890">
      <c r="B890" s="76"/>
      <c r="C890" s="76"/>
      <c r="D890" s="76"/>
      <c r="E890" s="76"/>
      <c r="F890" s="76"/>
      <c r="G890" s="76"/>
      <c r="H890" s="76"/>
    </row>
    <row r="891">
      <c r="B891" s="76"/>
      <c r="C891" s="76"/>
      <c r="D891" s="76"/>
      <c r="E891" s="76"/>
      <c r="F891" s="76"/>
      <c r="G891" s="76"/>
      <c r="H891" s="76"/>
    </row>
    <row r="892">
      <c r="B892" s="76"/>
      <c r="C892" s="76"/>
      <c r="D892" s="76"/>
      <c r="E892" s="76"/>
      <c r="F892" s="76"/>
      <c r="G892" s="76"/>
      <c r="H892" s="76"/>
    </row>
    <row r="893">
      <c r="B893" s="76"/>
      <c r="C893" s="76"/>
      <c r="D893" s="76"/>
      <c r="E893" s="76"/>
      <c r="F893" s="76"/>
      <c r="G893" s="76"/>
      <c r="H893" s="76"/>
    </row>
    <row r="894">
      <c r="B894" s="76"/>
      <c r="C894" s="76"/>
      <c r="D894" s="76"/>
      <c r="E894" s="76"/>
      <c r="F894" s="76"/>
      <c r="G894" s="76"/>
      <c r="H894" s="76"/>
    </row>
    <row r="895">
      <c r="B895" s="76"/>
      <c r="C895" s="76"/>
      <c r="D895" s="76"/>
      <c r="E895" s="76"/>
      <c r="F895" s="76"/>
      <c r="G895" s="76"/>
      <c r="H895" s="76"/>
    </row>
    <row r="896">
      <c r="B896" s="76"/>
      <c r="C896" s="76"/>
      <c r="D896" s="76"/>
      <c r="E896" s="76"/>
      <c r="F896" s="76"/>
      <c r="G896" s="76"/>
      <c r="H896" s="76"/>
    </row>
    <row r="897">
      <c r="B897" s="76"/>
      <c r="C897" s="76"/>
      <c r="D897" s="76"/>
      <c r="E897" s="76"/>
      <c r="F897" s="76"/>
      <c r="G897" s="76"/>
      <c r="H897" s="76"/>
    </row>
    <row r="898">
      <c r="B898" s="76"/>
      <c r="C898" s="76"/>
      <c r="D898" s="76"/>
      <c r="E898" s="76"/>
      <c r="F898" s="76"/>
      <c r="G898" s="76"/>
      <c r="H898" s="76"/>
    </row>
    <row r="899">
      <c r="B899" s="76"/>
      <c r="C899" s="76"/>
      <c r="D899" s="76"/>
      <c r="E899" s="76"/>
      <c r="F899" s="76"/>
      <c r="G899" s="76"/>
      <c r="H899" s="76"/>
    </row>
    <row r="900">
      <c r="B900" s="76"/>
      <c r="C900" s="76"/>
      <c r="D900" s="76"/>
      <c r="E900" s="76"/>
      <c r="F900" s="76"/>
      <c r="G900" s="76"/>
      <c r="H900" s="76"/>
    </row>
    <row r="901">
      <c r="B901" s="76"/>
      <c r="C901" s="76"/>
      <c r="D901" s="76"/>
      <c r="E901" s="76"/>
      <c r="F901" s="76"/>
      <c r="G901" s="76"/>
      <c r="H901" s="76"/>
    </row>
    <row r="902">
      <c r="B902" s="76"/>
      <c r="C902" s="76"/>
      <c r="D902" s="76"/>
      <c r="E902" s="76"/>
      <c r="F902" s="76"/>
      <c r="G902" s="76"/>
      <c r="H902" s="76"/>
    </row>
    <row r="903">
      <c r="B903" s="76"/>
      <c r="C903" s="76"/>
      <c r="D903" s="76"/>
      <c r="E903" s="76"/>
      <c r="F903" s="76"/>
      <c r="G903" s="76"/>
      <c r="H903" s="76"/>
    </row>
    <row r="904">
      <c r="B904" s="76"/>
      <c r="C904" s="76"/>
      <c r="D904" s="76"/>
      <c r="E904" s="76"/>
      <c r="F904" s="76"/>
      <c r="G904" s="76"/>
      <c r="H904" s="76"/>
    </row>
    <row r="905">
      <c r="B905" s="76"/>
      <c r="C905" s="76"/>
      <c r="D905" s="76"/>
      <c r="E905" s="76"/>
      <c r="F905" s="76"/>
      <c r="G905" s="76"/>
      <c r="H905" s="76"/>
    </row>
    <row r="906">
      <c r="B906" s="76"/>
      <c r="C906" s="76"/>
      <c r="D906" s="76"/>
      <c r="E906" s="76"/>
      <c r="F906" s="76"/>
      <c r="G906" s="76"/>
      <c r="H906" s="76"/>
    </row>
    <row r="907">
      <c r="B907" s="76"/>
      <c r="C907" s="76"/>
      <c r="D907" s="76"/>
      <c r="E907" s="76"/>
      <c r="F907" s="76"/>
      <c r="G907" s="76"/>
      <c r="H907" s="76"/>
    </row>
    <row r="908">
      <c r="B908" s="76"/>
      <c r="C908" s="76"/>
      <c r="D908" s="76"/>
      <c r="E908" s="76"/>
      <c r="F908" s="76"/>
      <c r="G908" s="76"/>
      <c r="H908" s="76"/>
    </row>
    <row r="909">
      <c r="B909" s="76"/>
      <c r="C909" s="76"/>
      <c r="D909" s="76"/>
      <c r="E909" s="76"/>
      <c r="F909" s="76"/>
      <c r="G909" s="76"/>
      <c r="H909" s="76"/>
    </row>
    <row r="910">
      <c r="B910" s="76"/>
      <c r="C910" s="76"/>
      <c r="D910" s="76"/>
      <c r="E910" s="76"/>
      <c r="F910" s="76"/>
      <c r="G910" s="76"/>
      <c r="H910" s="76"/>
    </row>
    <row r="911">
      <c r="B911" s="76"/>
      <c r="C911" s="76"/>
      <c r="D911" s="76"/>
      <c r="E911" s="76"/>
      <c r="F911" s="76"/>
      <c r="G911" s="76"/>
      <c r="H911" s="76"/>
    </row>
    <row r="912">
      <c r="B912" s="76"/>
      <c r="C912" s="76"/>
      <c r="D912" s="76"/>
      <c r="E912" s="76"/>
      <c r="F912" s="76"/>
      <c r="G912" s="76"/>
      <c r="H912" s="76"/>
    </row>
    <row r="913">
      <c r="B913" s="76"/>
      <c r="C913" s="76"/>
      <c r="D913" s="76"/>
      <c r="E913" s="76"/>
      <c r="F913" s="76"/>
      <c r="G913" s="76"/>
      <c r="H913" s="76"/>
    </row>
    <row r="914">
      <c r="B914" s="76"/>
      <c r="C914" s="76"/>
      <c r="D914" s="76"/>
      <c r="E914" s="76"/>
      <c r="F914" s="76"/>
      <c r="G914" s="76"/>
      <c r="H914" s="76"/>
    </row>
    <row r="915">
      <c r="B915" s="76"/>
      <c r="C915" s="76"/>
      <c r="D915" s="76"/>
      <c r="E915" s="76"/>
      <c r="F915" s="76"/>
      <c r="G915" s="76"/>
      <c r="H915" s="76"/>
    </row>
    <row r="916">
      <c r="B916" s="76"/>
      <c r="C916" s="76"/>
      <c r="D916" s="76"/>
      <c r="E916" s="76"/>
      <c r="F916" s="76"/>
      <c r="G916" s="76"/>
      <c r="H916" s="76"/>
    </row>
    <row r="917">
      <c r="B917" s="76"/>
      <c r="C917" s="76"/>
      <c r="D917" s="76"/>
      <c r="E917" s="76"/>
      <c r="F917" s="76"/>
      <c r="G917" s="76"/>
      <c r="H917" s="76"/>
    </row>
    <row r="918">
      <c r="B918" s="76"/>
      <c r="C918" s="76"/>
      <c r="D918" s="76"/>
      <c r="E918" s="76"/>
      <c r="F918" s="76"/>
      <c r="G918" s="76"/>
      <c r="H918" s="76"/>
    </row>
    <row r="919">
      <c r="B919" s="76"/>
      <c r="C919" s="76"/>
      <c r="D919" s="76"/>
      <c r="E919" s="76"/>
      <c r="F919" s="76"/>
      <c r="G919" s="76"/>
      <c r="H919" s="76"/>
    </row>
    <row r="920">
      <c r="B920" s="76"/>
      <c r="C920" s="76"/>
      <c r="D920" s="76"/>
      <c r="E920" s="76"/>
      <c r="F920" s="76"/>
      <c r="G920" s="76"/>
      <c r="H920" s="76"/>
    </row>
    <row r="921">
      <c r="B921" s="76"/>
      <c r="C921" s="76"/>
      <c r="D921" s="76"/>
      <c r="E921" s="76"/>
      <c r="F921" s="76"/>
      <c r="G921" s="76"/>
      <c r="H921" s="76"/>
    </row>
    <row r="922">
      <c r="B922" s="76"/>
      <c r="C922" s="76"/>
      <c r="D922" s="76"/>
      <c r="E922" s="76"/>
      <c r="F922" s="76"/>
      <c r="G922" s="76"/>
      <c r="H922" s="76"/>
    </row>
    <row r="923">
      <c r="B923" s="76"/>
      <c r="C923" s="76"/>
      <c r="D923" s="76"/>
      <c r="E923" s="76"/>
      <c r="F923" s="76"/>
      <c r="G923" s="76"/>
      <c r="H923" s="76"/>
    </row>
    <row r="924">
      <c r="B924" s="76"/>
      <c r="C924" s="76"/>
      <c r="D924" s="76"/>
      <c r="E924" s="76"/>
      <c r="F924" s="76"/>
      <c r="G924" s="76"/>
      <c r="H924" s="76"/>
    </row>
    <row r="925">
      <c r="B925" s="76"/>
      <c r="C925" s="76"/>
      <c r="D925" s="76"/>
      <c r="E925" s="76"/>
      <c r="F925" s="76"/>
      <c r="G925" s="76"/>
      <c r="H925" s="76"/>
    </row>
    <row r="926">
      <c r="B926" s="76"/>
      <c r="C926" s="76"/>
      <c r="D926" s="76"/>
      <c r="E926" s="76"/>
      <c r="F926" s="76"/>
      <c r="G926" s="76"/>
      <c r="H926" s="76"/>
    </row>
    <row r="927">
      <c r="B927" s="76"/>
      <c r="C927" s="76"/>
      <c r="D927" s="76"/>
      <c r="E927" s="76"/>
      <c r="F927" s="76"/>
      <c r="G927" s="76"/>
      <c r="H927" s="76"/>
    </row>
    <row r="928">
      <c r="B928" s="76"/>
      <c r="C928" s="76"/>
      <c r="D928" s="76"/>
      <c r="E928" s="76"/>
      <c r="F928" s="76"/>
      <c r="G928" s="76"/>
      <c r="H928" s="76"/>
    </row>
    <row r="929">
      <c r="B929" s="76"/>
      <c r="C929" s="76"/>
      <c r="D929" s="76"/>
      <c r="E929" s="76"/>
      <c r="F929" s="76"/>
      <c r="G929" s="76"/>
      <c r="H929" s="76"/>
    </row>
    <row r="930">
      <c r="B930" s="76"/>
      <c r="C930" s="76"/>
      <c r="D930" s="76"/>
      <c r="E930" s="76"/>
      <c r="F930" s="76"/>
      <c r="G930" s="76"/>
      <c r="H930" s="76"/>
    </row>
    <row r="931">
      <c r="B931" s="76"/>
      <c r="C931" s="76"/>
      <c r="D931" s="76"/>
      <c r="E931" s="76"/>
      <c r="F931" s="76"/>
      <c r="G931" s="76"/>
      <c r="H931" s="76"/>
    </row>
    <row r="932">
      <c r="B932" s="76"/>
      <c r="C932" s="76"/>
      <c r="D932" s="76"/>
      <c r="E932" s="76"/>
      <c r="F932" s="76"/>
      <c r="G932" s="76"/>
      <c r="H932" s="76"/>
    </row>
    <row r="933">
      <c r="B933" s="76"/>
      <c r="C933" s="76"/>
      <c r="D933" s="76"/>
      <c r="E933" s="76"/>
      <c r="F933" s="76"/>
      <c r="G933" s="76"/>
      <c r="H933" s="76"/>
    </row>
    <row r="934">
      <c r="B934" s="76"/>
      <c r="C934" s="76"/>
      <c r="D934" s="76"/>
      <c r="E934" s="76"/>
      <c r="F934" s="76"/>
      <c r="G934" s="76"/>
      <c r="H934" s="76"/>
    </row>
    <row r="935">
      <c r="B935" s="76"/>
      <c r="C935" s="76"/>
      <c r="D935" s="76"/>
      <c r="E935" s="76"/>
      <c r="F935" s="76"/>
      <c r="G935" s="76"/>
      <c r="H935" s="76"/>
    </row>
    <row r="936">
      <c r="B936" s="76"/>
      <c r="C936" s="76"/>
      <c r="D936" s="76"/>
      <c r="E936" s="76"/>
      <c r="F936" s="76"/>
      <c r="G936" s="76"/>
      <c r="H936" s="76"/>
    </row>
    <row r="937">
      <c r="B937" s="76"/>
      <c r="C937" s="76"/>
      <c r="D937" s="76"/>
      <c r="E937" s="76"/>
      <c r="F937" s="76"/>
      <c r="G937" s="76"/>
      <c r="H937" s="76"/>
    </row>
    <row r="938">
      <c r="B938" s="76"/>
      <c r="C938" s="76"/>
      <c r="D938" s="76"/>
      <c r="E938" s="76"/>
      <c r="F938" s="76"/>
      <c r="G938" s="76"/>
      <c r="H938" s="76"/>
    </row>
    <row r="939">
      <c r="B939" s="76"/>
      <c r="C939" s="76"/>
      <c r="D939" s="76"/>
      <c r="E939" s="76"/>
      <c r="F939" s="76"/>
      <c r="G939" s="76"/>
      <c r="H939" s="76"/>
    </row>
    <row r="940">
      <c r="B940" s="76"/>
      <c r="C940" s="76"/>
      <c r="D940" s="76"/>
      <c r="E940" s="76"/>
      <c r="F940" s="76"/>
      <c r="G940" s="76"/>
      <c r="H940" s="76"/>
    </row>
    <row r="941">
      <c r="B941" s="76"/>
      <c r="C941" s="76"/>
      <c r="D941" s="76"/>
      <c r="E941" s="76"/>
      <c r="F941" s="76"/>
      <c r="G941" s="76"/>
      <c r="H941" s="76"/>
    </row>
    <row r="942">
      <c r="B942" s="76"/>
      <c r="C942" s="76"/>
      <c r="D942" s="76"/>
      <c r="E942" s="76"/>
      <c r="F942" s="76"/>
      <c r="G942" s="76"/>
      <c r="H942" s="76"/>
    </row>
    <row r="943">
      <c r="B943" s="76"/>
      <c r="C943" s="76"/>
      <c r="D943" s="76"/>
      <c r="E943" s="76"/>
      <c r="F943" s="76"/>
      <c r="G943" s="76"/>
      <c r="H943" s="76"/>
    </row>
    <row r="944">
      <c r="B944" s="76"/>
      <c r="C944" s="76"/>
      <c r="D944" s="76"/>
      <c r="E944" s="76"/>
      <c r="F944" s="76"/>
      <c r="G944" s="76"/>
      <c r="H944" s="76"/>
    </row>
    <row r="945">
      <c r="B945" s="76"/>
      <c r="C945" s="76"/>
      <c r="D945" s="76"/>
      <c r="E945" s="76"/>
      <c r="F945" s="76"/>
      <c r="G945" s="76"/>
      <c r="H945" s="76"/>
    </row>
    <row r="946">
      <c r="B946" s="76"/>
      <c r="C946" s="76"/>
      <c r="D946" s="76"/>
      <c r="E946" s="76"/>
      <c r="F946" s="76"/>
      <c r="G946" s="76"/>
      <c r="H946" s="76"/>
    </row>
    <row r="947">
      <c r="B947" s="76"/>
      <c r="C947" s="76"/>
      <c r="D947" s="76"/>
      <c r="E947" s="76"/>
      <c r="F947" s="76"/>
      <c r="G947" s="76"/>
      <c r="H947" s="76"/>
    </row>
    <row r="948">
      <c r="B948" s="76"/>
      <c r="C948" s="76"/>
      <c r="D948" s="76"/>
      <c r="E948" s="76"/>
      <c r="F948" s="76"/>
      <c r="G948" s="76"/>
      <c r="H948" s="76"/>
    </row>
    <row r="949">
      <c r="B949" s="76"/>
      <c r="C949" s="76"/>
      <c r="D949" s="76"/>
      <c r="E949" s="76"/>
      <c r="F949" s="76"/>
      <c r="G949" s="76"/>
      <c r="H949" s="76"/>
    </row>
    <row r="950">
      <c r="B950" s="76"/>
      <c r="C950" s="76"/>
      <c r="D950" s="76"/>
      <c r="E950" s="76"/>
      <c r="F950" s="76"/>
      <c r="G950" s="76"/>
      <c r="H950" s="76"/>
    </row>
    <row r="951">
      <c r="B951" s="76"/>
      <c r="C951" s="76"/>
      <c r="D951" s="76"/>
      <c r="E951" s="76"/>
      <c r="F951" s="76"/>
      <c r="G951" s="76"/>
      <c r="H951" s="76"/>
    </row>
    <row r="952">
      <c r="B952" s="76"/>
      <c r="C952" s="76"/>
      <c r="D952" s="76"/>
      <c r="E952" s="76"/>
      <c r="F952" s="76"/>
      <c r="G952" s="76"/>
      <c r="H952" s="76"/>
    </row>
    <row r="953">
      <c r="B953" s="76"/>
      <c r="C953" s="76"/>
      <c r="D953" s="76"/>
      <c r="E953" s="76"/>
      <c r="F953" s="76"/>
      <c r="G953" s="76"/>
      <c r="H953" s="76"/>
    </row>
    <row r="954">
      <c r="B954" s="76"/>
      <c r="C954" s="76"/>
      <c r="D954" s="76"/>
      <c r="E954" s="76"/>
      <c r="F954" s="76"/>
      <c r="G954" s="76"/>
      <c r="H954" s="76"/>
    </row>
    <row r="955">
      <c r="B955" s="76"/>
      <c r="C955" s="76"/>
      <c r="D955" s="76"/>
      <c r="E955" s="76"/>
      <c r="F955" s="76"/>
      <c r="G955" s="76"/>
      <c r="H955" s="76"/>
    </row>
    <row r="956">
      <c r="B956" s="76"/>
      <c r="C956" s="76"/>
      <c r="D956" s="76"/>
      <c r="E956" s="76"/>
      <c r="F956" s="76"/>
      <c r="G956" s="76"/>
      <c r="H956" s="76"/>
    </row>
    <row r="957">
      <c r="B957" s="76"/>
      <c r="C957" s="76"/>
      <c r="D957" s="76"/>
      <c r="E957" s="76"/>
      <c r="F957" s="76"/>
      <c r="G957" s="76"/>
      <c r="H957" s="76"/>
    </row>
    <row r="958">
      <c r="B958" s="76"/>
      <c r="C958" s="76"/>
      <c r="D958" s="76"/>
      <c r="E958" s="76"/>
      <c r="F958" s="76"/>
      <c r="G958" s="76"/>
      <c r="H958" s="76"/>
    </row>
    <row r="959">
      <c r="B959" s="76"/>
      <c r="C959" s="76"/>
      <c r="D959" s="76"/>
      <c r="E959" s="76"/>
      <c r="F959" s="76"/>
      <c r="G959" s="76"/>
      <c r="H959" s="76"/>
    </row>
    <row r="960">
      <c r="B960" s="76"/>
      <c r="C960" s="76"/>
      <c r="D960" s="76"/>
      <c r="E960" s="76"/>
      <c r="F960" s="76"/>
      <c r="G960" s="76"/>
      <c r="H960" s="76"/>
    </row>
    <row r="961">
      <c r="B961" s="76"/>
      <c r="C961" s="76"/>
      <c r="D961" s="76"/>
      <c r="E961" s="76"/>
      <c r="F961" s="76"/>
      <c r="G961" s="76"/>
      <c r="H961" s="76"/>
    </row>
    <row r="962">
      <c r="B962" s="76"/>
      <c r="C962" s="76"/>
      <c r="D962" s="76"/>
      <c r="E962" s="76"/>
      <c r="F962" s="76"/>
      <c r="G962" s="76"/>
      <c r="H962" s="76"/>
    </row>
    <row r="963">
      <c r="B963" s="76"/>
      <c r="C963" s="76"/>
      <c r="D963" s="76"/>
      <c r="E963" s="76"/>
      <c r="F963" s="76"/>
      <c r="G963" s="76"/>
      <c r="H963" s="76"/>
    </row>
    <row r="964">
      <c r="B964" s="76"/>
      <c r="C964" s="76"/>
      <c r="D964" s="76"/>
      <c r="E964" s="76"/>
      <c r="F964" s="76"/>
      <c r="G964" s="76"/>
      <c r="H964" s="76"/>
    </row>
    <row r="965">
      <c r="B965" s="76"/>
      <c r="C965" s="76"/>
      <c r="D965" s="76"/>
      <c r="E965" s="76"/>
      <c r="F965" s="76"/>
      <c r="G965" s="76"/>
      <c r="H965" s="76"/>
    </row>
    <row r="966">
      <c r="B966" s="76"/>
      <c r="C966" s="76"/>
      <c r="D966" s="76"/>
      <c r="E966" s="76"/>
      <c r="F966" s="76"/>
      <c r="G966" s="76"/>
      <c r="H966" s="76"/>
    </row>
    <row r="967">
      <c r="B967" s="76"/>
      <c r="C967" s="76"/>
      <c r="D967" s="76"/>
      <c r="E967" s="76"/>
      <c r="F967" s="76"/>
      <c r="G967" s="76"/>
      <c r="H967" s="76"/>
    </row>
    <row r="968">
      <c r="B968" s="76"/>
      <c r="C968" s="76"/>
      <c r="D968" s="76"/>
      <c r="E968" s="76"/>
      <c r="F968" s="76"/>
      <c r="G968" s="76"/>
      <c r="H968" s="76"/>
    </row>
    <row r="969">
      <c r="B969" s="76"/>
      <c r="C969" s="76"/>
      <c r="D969" s="76"/>
      <c r="E969" s="76"/>
      <c r="F969" s="76"/>
      <c r="G969" s="76"/>
      <c r="H969" s="76"/>
    </row>
    <row r="970">
      <c r="B970" s="76"/>
      <c r="C970" s="76"/>
      <c r="D970" s="76"/>
      <c r="E970" s="76"/>
      <c r="F970" s="76"/>
      <c r="G970" s="76"/>
      <c r="H970" s="76"/>
    </row>
    <row r="971">
      <c r="B971" s="76"/>
      <c r="C971" s="76"/>
      <c r="D971" s="76"/>
      <c r="E971" s="76"/>
      <c r="F971" s="76"/>
      <c r="G971" s="76"/>
      <c r="H971" s="76"/>
    </row>
    <row r="972">
      <c r="B972" s="76"/>
      <c r="C972" s="76"/>
      <c r="D972" s="76"/>
      <c r="E972" s="76"/>
      <c r="F972" s="76"/>
      <c r="G972" s="76"/>
      <c r="H972" s="76"/>
    </row>
    <row r="973">
      <c r="B973" s="76"/>
      <c r="C973" s="76"/>
      <c r="D973" s="76"/>
      <c r="E973" s="76"/>
      <c r="F973" s="76"/>
      <c r="G973" s="76"/>
      <c r="H973" s="76"/>
    </row>
    <row r="974">
      <c r="B974" s="76"/>
      <c r="C974" s="76"/>
      <c r="D974" s="76"/>
      <c r="E974" s="76"/>
      <c r="F974" s="76"/>
      <c r="G974" s="76"/>
      <c r="H974" s="76"/>
    </row>
    <row r="975">
      <c r="B975" s="76"/>
      <c r="C975" s="76"/>
      <c r="D975" s="76"/>
      <c r="E975" s="76"/>
      <c r="F975" s="76"/>
      <c r="G975" s="76"/>
      <c r="H975" s="76"/>
    </row>
    <row r="976">
      <c r="B976" s="76"/>
      <c r="C976" s="76"/>
      <c r="D976" s="76"/>
      <c r="E976" s="76"/>
      <c r="F976" s="76"/>
      <c r="G976" s="76"/>
      <c r="H976" s="76"/>
    </row>
    <row r="977">
      <c r="B977" s="76"/>
      <c r="C977" s="76"/>
      <c r="D977" s="76"/>
      <c r="E977" s="76"/>
      <c r="F977" s="76"/>
      <c r="G977" s="76"/>
      <c r="H977" s="76"/>
    </row>
    <row r="978">
      <c r="B978" s="76"/>
      <c r="C978" s="76"/>
      <c r="D978" s="76"/>
      <c r="E978" s="76"/>
      <c r="F978" s="76"/>
      <c r="G978" s="76"/>
      <c r="H978" s="76"/>
    </row>
    <row r="979">
      <c r="B979" s="76"/>
      <c r="C979" s="76"/>
      <c r="D979" s="76"/>
      <c r="E979" s="76"/>
      <c r="F979" s="76"/>
      <c r="G979" s="76"/>
      <c r="H979" s="76"/>
    </row>
    <row r="980">
      <c r="B980" s="76"/>
      <c r="C980" s="76"/>
      <c r="D980" s="76"/>
      <c r="E980" s="76"/>
      <c r="F980" s="76"/>
      <c r="G980" s="76"/>
      <c r="H980" s="76"/>
    </row>
    <row r="981">
      <c r="B981" s="76"/>
      <c r="C981" s="76"/>
      <c r="D981" s="76"/>
      <c r="E981" s="76"/>
      <c r="F981" s="76"/>
      <c r="G981" s="76"/>
      <c r="H981" s="76"/>
    </row>
    <row r="982">
      <c r="B982" s="76"/>
      <c r="C982" s="76"/>
      <c r="D982" s="76"/>
      <c r="E982" s="76"/>
      <c r="F982" s="76"/>
      <c r="G982" s="76"/>
      <c r="H982" s="76"/>
    </row>
    <row r="983">
      <c r="B983" s="76"/>
      <c r="C983" s="76"/>
      <c r="D983" s="76"/>
      <c r="E983" s="76"/>
      <c r="F983" s="76"/>
      <c r="G983" s="76"/>
      <c r="H983" s="76"/>
    </row>
    <row r="984">
      <c r="B984" s="76"/>
      <c r="C984" s="76"/>
      <c r="D984" s="76"/>
      <c r="E984" s="76"/>
      <c r="F984" s="76"/>
      <c r="G984" s="76"/>
      <c r="H984" s="76"/>
    </row>
    <row r="985">
      <c r="B985" s="76"/>
      <c r="C985" s="76"/>
      <c r="D985" s="76"/>
      <c r="E985" s="76"/>
      <c r="F985" s="76"/>
      <c r="G985" s="76"/>
      <c r="H985" s="76"/>
    </row>
    <row r="986">
      <c r="B986" s="76"/>
      <c r="C986" s="76"/>
      <c r="D986" s="76"/>
      <c r="E986" s="76"/>
      <c r="F986" s="76"/>
      <c r="G986" s="76"/>
      <c r="H986" s="76"/>
    </row>
    <row r="987">
      <c r="B987" s="76"/>
      <c r="C987" s="76"/>
      <c r="D987" s="76"/>
      <c r="E987" s="76"/>
      <c r="F987" s="76"/>
      <c r="G987" s="76"/>
      <c r="H987" s="76"/>
    </row>
    <row r="988">
      <c r="B988" s="76"/>
      <c r="C988" s="76"/>
      <c r="D988" s="76"/>
      <c r="E988" s="76"/>
      <c r="F988" s="76"/>
      <c r="G988" s="76"/>
      <c r="H988" s="76"/>
    </row>
    <row r="989">
      <c r="B989" s="76"/>
      <c r="C989" s="76"/>
      <c r="D989" s="76"/>
      <c r="E989" s="76"/>
      <c r="F989" s="76"/>
      <c r="G989" s="76"/>
      <c r="H989" s="76"/>
    </row>
    <row r="990">
      <c r="B990" s="76"/>
      <c r="C990" s="76"/>
      <c r="D990" s="76"/>
      <c r="E990" s="76"/>
      <c r="F990" s="76"/>
      <c r="G990" s="76"/>
      <c r="H990" s="76"/>
    </row>
    <row r="991">
      <c r="B991" s="76"/>
      <c r="C991" s="76"/>
      <c r="D991" s="76"/>
      <c r="E991" s="76"/>
      <c r="F991" s="76"/>
      <c r="G991" s="76"/>
      <c r="H991" s="76"/>
    </row>
    <row r="992">
      <c r="B992" s="76"/>
      <c r="C992" s="76"/>
      <c r="D992" s="76"/>
      <c r="E992" s="76"/>
      <c r="F992" s="76"/>
      <c r="G992" s="76"/>
      <c r="H992" s="76"/>
    </row>
    <row r="993">
      <c r="B993" s="76"/>
      <c r="C993" s="76"/>
      <c r="D993" s="76"/>
      <c r="E993" s="76"/>
      <c r="F993" s="76"/>
      <c r="G993" s="76"/>
      <c r="H993" s="76"/>
    </row>
    <row r="994">
      <c r="B994" s="76"/>
      <c r="C994" s="76"/>
      <c r="D994" s="76"/>
      <c r="E994" s="76"/>
      <c r="F994" s="76"/>
      <c r="G994" s="76"/>
      <c r="H994" s="76"/>
    </row>
    <row r="995">
      <c r="B995" s="76"/>
      <c r="C995" s="76"/>
      <c r="D995" s="76"/>
      <c r="E995" s="76"/>
      <c r="F995" s="76"/>
      <c r="G995" s="76"/>
      <c r="H995" s="76"/>
    </row>
    <row r="996">
      <c r="B996" s="76"/>
      <c r="C996" s="76"/>
      <c r="D996" s="76"/>
      <c r="E996" s="76"/>
      <c r="F996" s="76"/>
      <c r="G996" s="76"/>
      <c r="H996" s="76"/>
    </row>
    <row r="997">
      <c r="B997" s="76"/>
      <c r="C997" s="76"/>
      <c r="D997" s="76"/>
      <c r="E997" s="76"/>
      <c r="F997" s="76"/>
      <c r="G997" s="76"/>
      <c r="H997" s="76"/>
    </row>
    <row r="998">
      <c r="B998" s="76"/>
      <c r="C998" s="76"/>
      <c r="D998" s="76"/>
      <c r="E998" s="76"/>
      <c r="F998" s="76"/>
      <c r="G998" s="76"/>
      <c r="H998" s="76"/>
    </row>
    <row r="999">
      <c r="B999" s="76"/>
      <c r="C999" s="76"/>
      <c r="D999" s="76"/>
      <c r="E999" s="76"/>
      <c r="F999" s="76"/>
      <c r="G999" s="76"/>
      <c r="H999" s="76"/>
    </row>
    <row r="1000">
      <c r="B1000" s="76"/>
      <c r="C1000" s="76"/>
      <c r="D1000" s="76"/>
      <c r="E1000" s="76"/>
      <c r="F1000" s="76"/>
      <c r="G1000" s="76"/>
      <c r="H1000" s="7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1">
      <c r="A1" s="56" t="s">
        <v>2</v>
      </c>
      <c r="B1" s="56" t="s">
        <v>689</v>
      </c>
    </row>
    <row r="2">
      <c r="A2" s="77" t="s">
        <v>11</v>
      </c>
      <c r="B2" s="77">
        <v>9.0</v>
      </c>
    </row>
    <row r="3">
      <c r="A3" s="77" t="s">
        <v>23</v>
      </c>
      <c r="B3" s="77">
        <v>8.0</v>
      </c>
    </row>
    <row r="4">
      <c r="A4" s="77" t="s">
        <v>88</v>
      </c>
      <c r="B4" s="77">
        <v>10.0</v>
      </c>
    </row>
    <row r="5">
      <c r="A5" s="77" t="s">
        <v>70</v>
      </c>
      <c r="B5" s="77">
        <v>11.0</v>
      </c>
    </row>
    <row r="6">
      <c r="A6" s="77" t="s">
        <v>41</v>
      </c>
      <c r="B6" s="77">
        <v>4.0</v>
      </c>
    </row>
    <row r="7">
      <c r="A7" s="77" t="s">
        <v>51</v>
      </c>
      <c r="B7" s="77">
        <v>5.0</v>
      </c>
    </row>
    <row r="8">
      <c r="A8" s="77" t="s">
        <v>39</v>
      </c>
      <c r="B8" s="77">
        <v>9.0</v>
      </c>
    </row>
    <row r="9">
      <c r="A9" s="77" t="s">
        <v>67</v>
      </c>
      <c r="B9" s="77">
        <v>11.0</v>
      </c>
    </row>
    <row r="10">
      <c r="A10" s="77" t="s">
        <v>13</v>
      </c>
      <c r="B10" s="77">
        <v>8.0</v>
      </c>
    </row>
    <row r="11">
      <c r="A11" s="77" t="s">
        <v>63</v>
      </c>
      <c r="B11" s="77">
        <v>10.0</v>
      </c>
    </row>
    <row r="12">
      <c r="A12" s="77" t="s">
        <v>77</v>
      </c>
      <c r="B12" s="77">
        <v>6.0</v>
      </c>
    </row>
    <row r="13">
      <c r="A13" s="77" t="s">
        <v>47</v>
      </c>
      <c r="B13" s="77">
        <v>7.0</v>
      </c>
    </row>
    <row r="14">
      <c r="A14" s="77" t="s">
        <v>26</v>
      </c>
      <c r="B14" s="77">
        <v>10.0</v>
      </c>
    </row>
    <row r="15">
      <c r="A15" s="77" t="s">
        <v>53</v>
      </c>
      <c r="B15" s="77">
        <v>9.0</v>
      </c>
    </row>
    <row r="16">
      <c r="A16" s="77" t="s">
        <v>30</v>
      </c>
      <c r="B16" s="77">
        <v>9.0</v>
      </c>
    </row>
    <row r="17">
      <c r="A17" s="77" t="s">
        <v>28</v>
      </c>
      <c r="B17" s="77">
        <v>12.0</v>
      </c>
    </row>
    <row r="18">
      <c r="A18" s="77" t="s">
        <v>34</v>
      </c>
      <c r="B18" s="77">
        <v>8.0</v>
      </c>
    </row>
    <row r="19">
      <c r="A19" s="77" t="s">
        <v>9</v>
      </c>
      <c r="B19" s="77">
        <v>12.0</v>
      </c>
    </row>
    <row r="20">
      <c r="A20" s="77" t="s">
        <v>45</v>
      </c>
      <c r="B20" s="77">
        <v>11.0</v>
      </c>
    </row>
    <row r="21">
      <c r="A21" s="77" t="s">
        <v>32</v>
      </c>
      <c r="B21" s="77">
        <v>10.0</v>
      </c>
    </row>
    <row r="22">
      <c r="A22" s="77" t="s">
        <v>15</v>
      </c>
      <c r="B22" s="77">
        <v>11.0</v>
      </c>
    </row>
    <row r="23">
      <c r="A23" s="77" t="s">
        <v>21</v>
      </c>
      <c r="B23" s="77">
        <v>6.0</v>
      </c>
    </row>
    <row r="24">
      <c r="A24" s="77" t="s">
        <v>19</v>
      </c>
      <c r="B24" s="77">
        <v>9.0</v>
      </c>
    </row>
    <row r="25">
      <c r="A25" s="77" t="s">
        <v>95</v>
      </c>
      <c r="B25" s="77">
        <v>11.0</v>
      </c>
    </row>
    <row r="26">
      <c r="A26" s="77" t="s">
        <v>75</v>
      </c>
      <c r="B26" s="77">
        <v>7.0</v>
      </c>
    </row>
    <row r="27">
      <c r="A27" s="77" t="s">
        <v>60</v>
      </c>
      <c r="B27" s="77">
        <v>9.0</v>
      </c>
    </row>
    <row r="28">
      <c r="A28" s="77" t="s">
        <v>6</v>
      </c>
      <c r="B28" s="77">
        <v>7.0</v>
      </c>
    </row>
    <row r="29">
      <c r="A29" s="77" t="s">
        <v>65</v>
      </c>
      <c r="B29" s="77">
        <v>7.0</v>
      </c>
    </row>
    <row r="30">
      <c r="A30" s="77" t="s">
        <v>72</v>
      </c>
      <c r="B30" s="77">
        <v>11.0</v>
      </c>
    </row>
    <row r="31">
      <c r="A31" s="77" t="s">
        <v>49</v>
      </c>
      <c r="B31" s="77">
        <v>5.0</v>
      </c>
    </row>
    <row r="32">
      <c r="A32" s="77" t="s">
        <v>83</v>
      </c>
      <c r="B32" s="77">
        <v>8.0</v>
      </c>
    </row>
    <row r="33">
      <c r="A33" s="77" t="s">
        <v>123</v>
      </c>
      <c r="B33" s="77">
        <v>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7.75"/>
    <col customWidth="1" min="3" max="3" width="19.88"/>
    <col customWidth="1" min="4" max="4" width="9.38"/>
  </cols>
  <sheetData>
    <row r="1">
      <c r="A1" s="78" t="s">
        <v>691</v>
      </c>
      <c r="B1" s="78" t="s">
        <v>690</v>
      </c>
      <c r="C1" s="79" t="s">
        <v>714</v>
      </c>
    </row>
    <row r="2">
      <c r="A2" s="13" t="s">
        <v>38</v>
      </c>
      <c r="B2" s="9" t="s">
        <v>38</v>
      </c>
      <c r="C2" s="13" t="s">
        <v>503</v>
      </c>
      <c r="D2">
        <f t="shared" ref="D2:D581" si="1">countif($B$2:$C$581,A2)</f>
        <v>2</v>
      </c>
    </row>
    <row r="3">
      <c r="A3" s="22" t="s">
        <v>715</v>
      </c>
      <c r="B3" s="5" t="s">
        <v>204</v>
      </c>
      <c r="C3" s="13" t="s">
        <v>38</v>
      </c>
      <c r="D3">
        <f t="shared" si="1"/>
        <v>0</v>
      </c>
    </row>
    <row r="4">
      <c r="A4" s="22" t="s">
        <v>204</v>
      </c>
      <c r="B4" s="9" t="s">
        <v>96</v>
      </c>
      <c r="C4" s="13" t="s">
        <v>204</v>
      </c>
      <c r="D4">
        <f t="shared" si="1"/>
        <v>2</v>
      </c>
    </row>
    <row r="5">
      <c r="A5" s="13" t="s">
        <v>96</v>
      </c>
      <c r="B5" s="9" t="s">
        <v>54</v>
      </c>
      <c r="C5" s="13" t="s">
        <v>96</v>
      </c>
      <c r="D5">
        <f t="shared" si="1"/>
        <v>2</v>
      </c>
    </row>
    <row r="6">
      <c r="A6" s="13" t="s">
        <v>54</v>
      </c>
      <c r="B6" s="9" t="s">
        <v>235</v>
      </c>
      <c r="C6" s="13" t="s">
        <v>380</v>
      </c>
      <c r="D6">
        <f t="shared" si="1"/>
        <v>2</v>
      </c>
    </row>
    <row r="7">
      <c r="A7" s="22" t="s">
        <v>716</v>
      </c>
      <c r="B7" s="9" t="s">
        <v>314</v>
      </c>
      <c r="C7" s="13" t="s">
        <v>463</v>
      </c>
      <c r="D7">
        <f t="shared" si="1"/>
        <v>0</v>
      </c>
    </row>
    <row r="8">
      <c r="A8" s="22" t="s">
        <v>717</v>
      </c>
      <c r="B8" s="9" t="s">
        <v>259</v>
      </c>
      <c r="C8" s="13" t="s">
        <v>54</v>
      </c>
      <c r="D8">
        <f t="shared" si="1"/>
        <v>0</v>
      </c>
    </row>
    <row r="9">
      <c r="A9" s="22" t="s">
        <v>87</v>
      </c>
      <c r="B9" s="9" t="s">
        <v>87</v>
      </c>
      <c r="C9" s="13" t="s">
        <v>235</v>
      </c>
      <c r="D9">
        <f t="shared" si="1"/>
        <v>2</v>
      </c>
    </row>
    <row r="10">
      <c r="A10" s="22" t="s">
        <v>181</v>
      </c>
      <c r="B10" s="9" t="s">
        <v>181</v>
      </c>
      <c r="C10" s="13" t="s">
        <v>357</v>
      </c>
      <c r="D10">
        <f t="shared" si="1"/>
        <v>2</v>
      </c>
    </row>
    <row r="11">
      <c r="A11" s="22" t="s">
        <v>146</v>
      </c>
      <c r="B11" s="9" t="s">
        <v>282</v>
      </c>
      <c r="C11" s="13" t="s">
        <v>314</v>
      </c>
      <c r="D11">
        <f t="shared" si="1"/>
        <v>2</v>
      </c>
    </row>
    <row r="12">
      <c r="A12" s="13" t="s">
        <v>61</v>
      </c>
      <c r="B12" s="9" t="s">
        <v>146</v>
      </c>
      <c r="C12" s="13" t="s">
        <v>554</v>
      </c>
      <c r="D12">
        <f t="shared" si="1"/>
        <v>2</v>
      </c>
    </row>
    <row r="13">
      <c r="A13" s="22" t="s">
        <v>68</v>
      </c>
      <c r="B13" s="9" t="s">
        <v>61</v>
      </c>
      <c r="C13" s="13" t="s">
        <v>471</v>
      </c>
      <c r="D13">
        <f t="shared" si="1"/>
        <v>2</v>
      </c>
    </row>
    <row r="14">
      <c r="A14" s="13" t="s">
        <v>20</v>
      </c>
      <c r="B14" s="9" t="s">
        <v>68</v>
      </c>
      <c r="C14" s="13" t="s">
        <v>259</v>
      </c>
      <c r="D14">
        <f t="shared" si="1"/>
        <v>2</v>
      </c>
    </row>
    <row r="15">
      <c r="A15" s="13" t="s">
        <v>74</v>
      </c>
      <c r="B15" s="9" t="s">
        <v>20</v>
      </c>
      <c r="C15" s="13" t="s">
        <v>536</v>
      </c>
      <c r="D15">
        <f t="shared" si="1"/>
        <v>2</v>
      </c>
    </row>
    <row r="16">
      <c r="A16" s="22" t="s">
        <v>158</v>
      </c>
      <c r="B16" s="9" t="s">
        <v>74</v>
      </c>
      <c r="C16" s="13" t="s">
        <v>401</v>
      </c>
      <c r="D16">
        <f t="shared" si="1"/>
        <v>2</v>
      </c>
    </row>
    <row r="17">
      <c r="A17" s="22" t="s">
        <v>183</v>
      </c>
      <c r="B17" s="9" t="s">
        <v>158</v>
      </c>
      <c r="C17" s="13" t="s">
        <v>87</v>
      </c>
      <c r="D17">
        <f t="shared" si="1"/>
        <v>2</v>
      </c>
    </row>
    <row r="18">
      <c r="A18" s="13" t="s">
        <v>16</v>
      </c>
      <c r="B18" s="9" t="s">
        <v>262</v>
      </c>
      <c r="C18" s="13" t="s">
        <v>588</v>
      </c>
      <c r="D18">
        <f t="shared" si="1"/>
        <v>2</v>
      </c>
    </row>
    <row r="19">
      <c r="A19" s="13" t="s">
        <v>320</v>
      </c>
      <c r="B19" s="9" t="s">
        <v>183</v>
      </c>
      <c r="C19" s="13" t="s">
        <v>686</v>
      </c>
      <c r="D19">
        <f t="shared" si="1"/>
        <v>2</v>
      </c>
    </row>
    <row r="20">
      <c r="A20" s="22" t="s">
        <v>217</v>
      </c>
      <c r="B20" s="9" t="s">
        <v>16</v>
      </c>
      <c r="C20" s="13" t="s">
        <v>181</v>
      </c>
      <c r="D20">
        <f t="shared" si="1"/>
        <v>0</v>
      </c>
    </row>
    <row r="21">
      <c r="A21" s="22" t="s">
        <v>159</v>
      </c>
      <c r="B21" s="9" t="s">
        <v>268</v>
      </c>
      <c r="C21" s="13" t="s">
        <v>282</v>
      </c>
      <c r="D21">
        <f t="shared" si="1"/>
        <v>2</v>
      </c>
    </row>
    <row r="22">
      <c r="A22" s="22" t="s">
        <v>718</v>
      </c>
      <c r="B22" s="9" t="s">
        <v>292</v>
      </c>
      <c r="C22" s="13" t="s">
        <v>422</v>
      </c>
      <c r="D22">
        <f t="shared" si="1"/>
        <v>0</v>
      </c>
    </row>
    <row r="23">
      <c r="A23" s="22" t="s">
        <v>302</v>
      </c>
      <c r="B23" s="9" t="s">
        <v>245</v>
      </c>
      <c r="C23" s="13" t="s">
        <v>146</v>
      </c>
      <c r="D23">
        <f t="shared" si="1"/>
        <v>2</v>
      </c>
    </row>
    <row r="24">
      <c r="A24" s="22" t="s">
        <v>719</v>
      </c>
      <c r="B24" s="9" t="s">
        <v>290</v>
      </c>
      <c r="C24" s="13" t="s">
        <v>520</v>
      </c>
      <c r="D24">
        <f t="shared" si="1"/>
        <v>0</v>
      </c>
    </row>
    <row r="25">
      <c r="A25" s="22" t="s">
        <v>720</v>
      </c>
      <c r="B25" s="9" t="s">
        <v>207</v>
      </c>
      <c r="C25" s="13" t="s">
        <v>61</v>
      </c>
      <c r="D25">
        <f t="shared" si="1"/>
        <v>0</v>
      </c>
    </row>
    <row r="26">
      <c r="A26" s="22" t="s">
        <v>721</v>
      </c>
      <c r="B26" s="9" t="s">
        <v>320</v>
      </c>
      <c r="C26" s="13" t="s">
        <v>68</v>
      </c>
      <c r="D26">
        <f t="shared" si="1"/>
        <v>0</v>
      </c>
    </row>
    <row r="27">
      <c r="A27" s="22" t="s">
        <v>78</v>
      </c>
      <c r="B27" s="9" t="s">
        <v>159</v>
      </c>
      <c r="C27" s="13" t="s">
        <v>20</v>
      </c>
      <c r="D27">
        <f t="shared" si="1"/>
        <v>2</v>
      </c>
    </row>
    <row r="28">
      <c r="A28" s="22" t="s">
        <v>149</v>
      </c>
      <c r="B28" s="9" t="s">
        <v>242</v>
      </c>
      <c r="C28" s="13" t="s">
        <v>551</v>
      </c>
      <c r="D28">
        <f t="shared" si="1"/>
        <v>2</v>
      </c>
    </row>
    <row r="29">
      <c r="A29" s="22" t="s">
        <v>722</v>
      </c>
      <c r="B29" s="9" t="s">
        <v>238</v>
      </c>
      <c r="C29" s="13" t="s">
        <v>74</v>
      </c>
      <c r="D29">
        <f t="shared" si="1"/>
        <v>0</v>
      </c>
    </row>
    <row r="30">
      <c r="A30" s="22" t="s">
        <v>723</v>
      </c>
      <c r="B30" s="9" t="s">
        <v>302</v>
      </c>
      <c r="C30" s="13" t="s">
        <v>430</v>
      </c>
      <c r="D30">
        <f t="shared" si="1"/>
        <v>0</v>
      </c>
    </row>
    <row r="31">
      <c r="A31" s="22" t="s">
        <v>170</v>
      </c>
      <c r="B31" s="9" t="s">
        <v>318</v>
      </c>
      <c r="C31" s="13" t="s">
        <v>507</v>
      </c>
      <c r="D31">
        <f t="shared" si="1"/>
        <v>2</v>
      </c>
    </row>
    <row r="32">
      <c r="A32" s="13" t="s">
        <v>106</v>
      </c>
      <c r="B32" s="9" t="s">
        <v>78</v>
      </c>
      <c r="C32" s="13" t="s">
        <v>575</v>
      </c>
      <c r="D32">
        <f t="shared" si="1"/>
        <v>2</v>
      </c>
    </row>
    <row r="33">
      <c r="A33" s="22" t="s">
        <v>724</v>
      </c>
      <c r="B33" s="9" t="s">
        <v>272</v>
      </c>
      <c r="C33" s="13" t="s">
        <v>158</v>
      </c>
      <c r="D33">
        <f t="shared" si="1"/>
        <v>0</v>
      </c>
    </row>
    <row r="34">
      <c r="A34" s="22" t="s">
        <v>124</v>
      </c>
      <c r="B34" s="9" t="s">
        <v>725</v>
      </c>
      <c r="C34" s="13" t="s">
        <v>262</v>
      </c>
      <c r="D34">
        <f t="shared" si="1"/>
        <v>2</v>
      </c>
    </row>
    <row r="35">
      <c r="A35" s="22" t="s">
        <v>227</v>
      </c>
      <c r="B35" s="9" t="s">
        <v>149</v>
      </c>
      <c r="C35" s="13" t="s">
        <v>183</v>
      </c>
      <c r="D35">
        <f t="shared" si="1"/>
        <v>0</v>
      </c>
    </row>
    <row r="36">
      <c r="A36" s="13" t="s">
        <v>107</v>
      </c>
      <c r="B36" s="9" t="s">
        <v>280</v>
      </c>
      <c r="C36" s="13" t="s">
        <v>16</v>
      </c>
      <c r="D36">
        <f t="shared" si="1"/>
        <v>2</v>
      </c>
    </row>
    <row r="37">
      <c r="A37" s="22" t="s">
        <v>301</v>
      </c>
      <c r="B37" s="9" t="s">
        <v>170</v>
      </c>
      <c r="C37" s="13" t="s">
        <v>268</v>
      </c>
      <c r="D37">
        <f t="shared" si="1"/>
        <v>2</v>
      </c>
    </row>
    <row r="38">
      <c r="A38" s="22" t="s">
        <v>726</v>
      </c>
      <c r="B38" s="9" t="s">
        <v>106</v>
      </c>
      <c r="C38" s="13" t="s">
        <v>292</v>
      </c>
      <c r="D38">
        <f t="shared" si="1"/>
        <v>0</v>
      </c>
    </row>
    <row r="39">
      <c r="A39" s="22" t="s">
        <v>103</v>
      </c>
      <c r="B39" s="9" t="s">
        <v>209</v>
      </c>
      <c r="C39" s="13" t="s">
        <v>600</v>
      </c>
      <c r="D39">
        <f t="shared" si="1"/>
        <v>2</v>
      </c>
    </row>
    <row r="40">
      <c r="A40" s="22" t="s">
        <v>137</v>
      </c>
      <c r="B40" s="9" t="s">
        <v>162</v>
      </c>
      <c r="C40" s="13" t="s">
        <v>599</v>
      </c>
      <c r="D40">
        <f t="shared" si="1"/>
        <v>2</v>
      </c>
    </row>
    <row r="41">
      <c r="A41" s="22" t="s">
        <v>201</v>
      </c>
      <c r="B41" s="9" t="s">
        <v>727</v>
      </c>
      <c r="C41" s="13" t="s">
        <v>671</v>
      </c>
      <c r="D41">
        <f t="shared" si="1"/>
        <v>2</v>
      </c>
    </row>
    <row r="42">
      <c r="A42" s="13" t="s">
        <v>40</v>
      </c>
      <c r="B42" s="9" t="s">
        <v>124</v>
      </c>
      <c r="C42" s="13" t="s">
        <v>245</v>
      </c>
      <c r="D42">
        <f t="shared" si="1"/>
        <v>1</v>
      </c>
    </row>
    <row r="43">
      <c r="A43" s="22" t="s">
        <v>112</v>
      </c>
      <c r="B43" s="9" t="s">
        <v>107</v>
      </c>
      <c r="C43" s="13" t="s">
        <v>290</v>
      </c>
      <c r="D43">
        <f t="shared" si="1"/>
        <v>2</v>
      </c>
    </row>
    <row r="44">
      <c r="A44" s="22" t="s">
        <v>105</v>
      </c>
      <c r="B44" s="9" t="s">
        <v>301</v>
      </c>
      <c r="C44" s="13" t="s">
        <v>607</v>
      </c>
      <c r="D44">
        <f t="shared" si="1"/>
        <v>2</v>
      </c>
    </row>
    <row r="45">
      <c r="A45" s="22" t="s">
        <v>186</v>
      </c>
      <c r="B45" s="9" t="s">
        <v>728</v>
      </c>
      <c r="C45" s="13" t="s">
        <v>632</v>
      </c>
      <c r="D45">
        <f t="shared" si="1"/>
        <v>2</v>
      </c>
    </row>
    <row r="46">
      <c r="A46" s="22" t="s">
        <v>164</v>
      </c>
      <c r="B46" s="9" t="s">
        <v>175</v>
      </c>
      <c r="C46" s="13" t="s">
        <v>207</v>
      </c>
      <c r="D46">
        <f t="shared" si="1"/>
        <v>2</v>
      </c>
    </row>
    <row r="47">
      <c r="A47" s="22" t="s">
        <v>205</v>
      </c>
      <c r="B47" s="9" t="s">
        <v>285</v>
      </c>
      <c r="C47" s="13" t="s">
        <v>320</v>
      </c>
      <c r="D47">
        <f t="shared" si="1"/>
        <v>2</v>
      </c>
    </row>
    <row r="48">
      <c r="A48" s="13" t="s">
        <v>31</v>
      </c>
      <c r="B48" s="9" t="s">
        <v>247</v>
      </c>
      <c r="C48" s="13" t="s">
        <v>159</v>
      </c>
      <c r="D48">
        <f t="shared" si="1"/>
        <v>2</v>
      </c>
    </row>
    <row r="49">
      <c r="A49" s="22" t="s">
        <v>729</v>
      </c>
      <c r="B49" s="9" t="s">
        <v>230</v>
      </c>
      <c r="C49" s="13" t="s">
        <v>433</v>
      </c>
      <c r="D49">
        <f t="shared" si="1"/>
        <v>0</v>
      </c>
    </row>
    <row r="50">
      <c r="A50" s="22" t="s">
        <v>329</v>
      </c>
      <c r="B50" s="9" t="s">
        <v>148</v>
      </c>
      <c r="C50" s="13" t="s">
        <v>533</v>
      </c>
      <c r="D50">
        <f t="shared" si="1"/>
        <v>1</v>
      </c>
    </row>
    <row r="51">
      <c r="A51" s="13" t="s">
        <v>46</v>
      </c>
      <c r="B51" s="9" t="s">
        <v>166</v>
      </c>
      <c r="C51" s="13" t="s">
        <v>462</v>
      </c>
      <c r="D51">
        <f t="shared" si="1"/>
        <v>2</v>
      </c>
    </row>
    <row r="52">
      <c r="A52" s="13" t="s">
        <v>10</v>
      </c>
      <c r="B52" s="9" t="s">
        <v>103</v>
      </c>
      <c r="C52" s="13" t="s">
        <v>238</v>
      </c>
      <c r="D52">
        <f t="shared" si="1"/>
        <v>2</v>
      </c>
    </row>
    <row r="53">
      <c r="A53" s="22" t="s">
        <v>151</v>
      </c>
      <c r="B53" s="9" t="s">
        <v>244</v>
      </c>
      <c r="C53" s="13" t="s">
        <v>648</v>
      </c>
      <c r="D53">
        <f t="shared" si="1"/>
        <v>2</v>
      </c>
    </row>
    <row r="54">
      <c r="A54" s="13" t="s">
        <v>25</v>
      </c>
      <c r="B54" s="9" t="s">
        <v>137</v>
      </c>
      <c r="C54" s="13" t="s">
        <v>411</v>
      </c>
      <c r="D54">
        <f t="shared" si="1"/>
        <v>2</v>
      </c>
    </row>
    <row r="55">
      <c r="A55" s="22" t="s">
        <v>730</v>
      </c>
      <c r="B55" s="9" t="s">
        <v>201</v>
      </c>
      <c r="C55" s="13" t="s">
        <v>302</v>
      </c>
      <c r="D55">
        <f t="shared" si="1"/>
        <v>0</v>
      </c>
    </row>
    <row r="56">
      <c r="A56" s="22" t="s">
        <v>118</v>
      </c>
      <c r="B56" s="9" t="s">
        <v>40</v>
      </c>
      <c r="C56" s="13" t="s">
        <v>490</v>
      </c>
      <c r="D56">
        <f t="shared" si="1"/>
        <v>2</v>
      </c>
    </row>
    <row r="57">
      <c r="A57" s="22" t="s">
        <v>731</v>
      </c>
      <c r="B57" s="9" t="s">
        <v>274</v>
      </c>
      <c r="C57" s="13" t="s">
        <v>571</v>
      </c>
      <c r="D57">
        <f t="shared" si="1"/>
        <v>0</v>
      </c>
    </row>
    <row r="58">
      <c r="A58" s="22" t="s">
        <v>62</v>
      </c>
      <c r="B58" s="9" t="s">
        <v>112</v>
      </c>
      <c r="C58" s="13" t="s">
        <v>419</v>
      </c>
      <c r="D58">
        <f t="shared" si="1"/>
        <v>2</v>
      </c>
    </row>
    <row r="59">
      <c r="A59" s="22" t="s">
        <v>732</v>
      </c>
      <c r="B59" s="9" t="s">
        <v>210</v>
      </c>
      <c r="C59" s="13" t="s">
        <v>78</v>
      </c>
      <c r="D59">
        <f t="shared" si="1"/>
        <v>0</v>
      </c>
    </row>
    <row r="60">
      <c r="A60" s="22" t="s">
        <v>733</v>
      </c>
      <c r="B60" s="9" t="s">
        <v>105</v>
      </c>
      <c r="C60" s="13" t="s">
        <v>560</v>
      </c>
      <c r="D60">
        <f t="shared" si="1"/>
        <v>0</v>
      </c>
    </row>
    <row r="61">
      <c r="A61" s="22" t="s">
        <v>288</v>
      </c>
      <c r="B61" s="9" t="s">
        <v>281</v>
      </c>
      <c r="C61" s="13" t="s">
        <v>496</v>
      </c>
      <c r="D61">
        <f t="shared" si="1"/>
        <v>2</v>
      </c>
    </row>
    <row r="62">
      <c r="A62" s="22" t="s">
        <v>82</v>
      </c>
      <c r="B62" s="9" t="s">
        <v>186</v>
      </c>
      <c r="C62" s="13" t="s">
        <v>449</v>
      </c>
      <c r="D62">
        <f t="shared" si="1"/>
        <v>2</v>
      </c>
    </row>
    <row r="63">
      <c r="A63" s="13" t="s">
        <v>324</v>
      </c>
      <c r="B63" s="9" t="s">
        <v>164</v>
      </c>
      <c r="C63" s="13" t="s">
        <v>272</v>
      </c>
      <c r="D63">
        <f t="shared" si="1"/>
        <v>1</v>
      </c>
    </row>
    <row r="64">
      <c r="A64" s="22" t="s">
        <v>734</v>
      </c>
      <c r="B64" s="9" t="s">
        <v>243</v>
      </c>
      <c r="C64" s="13" t="s">
        <v>396</v>
      </c>
      <c r="D64">
        <f t="shared" si="1"/>
        <v>0</v>
      </c>
    </row>
    <row r="65">
      <c r="A65" s="13" t="s">
        <v>109</v>
      </c>
      <c r="B65" s="9" t="s">
        <v>205</v>
      </c>
      <c r="C65" s="13" t="s">
        <v>457</v>
      </c>
      <c r="D65">
        <f t="shared" si="1"/>
        <v>2</v>
      </c>
    </row>
    <row r="66">
      <c r="A66" s="22" t="s">
        <v>129</v>
      </c>
      <c r="B66" s="9" t="s">
        <v>31</v>
      </c>
      <c r="C66" s="13" t="s">
        <v>685</v>
      </c>
      <c r="D66">
        <f t="shared" si="1"/>
        <v>2</v>
      </c>
    </row>
    <row r="67">
      <c r="A67" s="22" t="s">
        <v>93</v>
      </c>
      <c r="B67" s="9" t="s">
        <v>266</v>
      </c>
      <c r="C67" s="13" t="s">
        <v>666</v>
      </c>
      <c r="D67">
        <f t="shared" si="1"/>
        <v>2</v>
      </c>
    </row>
    <row r="68">
      <c r="A68" s="13" t="s">
        <v>37</v>
      </c>
      <c r="B68" s="9" t="s">
        <v>295</v>
      </c>
      <c r="C68" s="13" t="s">
        <v>604</v>
      </c>
      <c r="D68">
        <f t="shared" si="1"/>
        <v>2</v>
      </c>
    </row>
    <row r="69">
      <c r="A69" s="22" t="s">
        <v>171</v>
      </c>
      <c r="B69" s="9" t="s">
        <v>174</v>
      </c>
      <c r="C69" s="13" t="s">
        <v>566</v>
      </c>
      <c r="D69">
        <f t="shared" si="1"/>
        <v>2</v>
      </c>
    </row>
    <row r="70">
      <c r="A70" s="22" t="s">
        <v>120</v>
      </c>
      <c r="B70" s="9" t="s">
        <v>239</v>
      </c>
      <c r="C70" s="13" t="s">
        <v>612</v>
      </c>
      <c r="D70">
        <f t="shared" si="1"/>
        <v>2</v>
      </c>
    </row>
    <row r="71">
      <c r="A71" s="22" t="s">
        <v>64</v>
      </c>
      <c r="B71" s="9" t="s">
        <v>46</v>
      </c>
      <c r="C71" s="13" t="s">
        <v>565</v>
      </c>
      <c r="D71">
        <f t="shared" si="1"/>
        <v>2</v>
      </c>
    </row>
    <row r="72">
      <c r="A72" s="22" t="s">
        <v>169</v>
      </c>
      <c r="B72" s="9" t="s">
        <v>10</v>
      </c>
      <c r="C72" s="13" t="s">
        <v>649</v>
      </c>
      <c r="D72">
        <f t="shared" si="1"/>
        <v>2</v>
      </c>
    </row>
    <row r="73">
      <c r="A73" s="22" t="s">
        <v>136</v>
      </c>
      <c r="B73" s="9" t="s">
        <v>151</v>
      </c>
      <c r="C73" s="13" t="s">
        <v>489</v>
      </c>
      <c r="D73">
        <f t="shared" si="1"/>
        <v>2</v>
      </c>
    </row>
    <row r="74">
      <c r="A74" s="22" t="s">
        <v>102</v>
      </c>
      <c r="B74" s="9" t="s">
        <v>306</v>
      </c>
      <c r="C74" s="13" t="s">
        <v>640</v>
      </c>
      <c r="D74">
        <f t="shared" si="1"/>
        <v>2</v>
      </c>
    </row>
    <row r="75">
      <c r="A75" s="22" t="s">
        <v>119</v>
      </c>
      <c r="B75" s="9" t="s">
        <v>25</v>
      </c>
      <c r="C75" s="13" t="s">
        <v>550</v>
      </c>
      <c r="D75">
        <f t="shared" si="1"/>
        <v>2</v>
      </c>
    </row>
    <row r="76">
      <c r="A76" s="13" t="s">
        <v>12</v>
      </c>
      <c r="B76" s="9" t="s">
        <v>118</v>
      </c>
      <c r="C76" s="13" t="s">
        <v>436</v>
      </c>
      <c r="D76">
        <f t="shared" si="1"/>
        <v>2</v>
      </c>
    </row>
    <row r="77">
      <c r="A77" s="22" t="s">
        <v>200</v>
      </c>
      <c r="B77" s="9" t="s">
        <v>62</v>
      </c>
      <c r="C77" s="13" t="s">
        <v>636</v>
      </c>
      <c r="D77">
        <f t="shared" si="1"/>
        <v>2</v>
      </c>
    </row>
    <row r="78">
      <c r="A78" s="22" t="s">
        <v>79</v>
      </c>
      <c r="B78" s="9" t="s">
        <v>288</v>
      </c>
      <c r="C78" s="13" t="s">
        <v>453</v>
      </c>
      <c r="D78">
        <f t="shared" si="1"/>
        <v>2</v>
      </c>
    </row>
    <row r="79">
      <c r="A79" s="22" t="s">
        <v>327</v>
      </c>
      <c r="B79" s="9" t="s">
        <v>82</v>
      </c>
      <c r="C79" s="13" t="s">
        <v>639</v>
      </c>
      <c r="D79">
        <f t="shared" si="1"/>
        <v>0</v>
      </c>
    </row>
    <row r="80">
      <c r="A80" s="22" t="s">
        <v>117</v>
      </c>
      <c r="B80" s="9" t="s">
        <v>165</v>
      </c>
      <c r="C80" s="13" t="s">
        <v>603</v>
      </c>
      <c r="D80">
        <f t="shared" si="1"/>
        <v>2</v>
      </c>
    </row>
    <row r="81">
      <c r="A81" s="22" t="s">
        <v>735</v>
      </c>
      <c r="B81" s="9" t="s">
        <v>109</v>
      </c>
      <c r="C81" s="13" t="s">
        <v>149</v>
      </c>
      <c r="D81">
        <f t="shared" si="1"/>
        <v>0</v>
      </c>
    </row>
    <row r="82">
      <c r="A82" s="22" t="s">
        <v>736</v>
      </c>
      <c r="B82" s="9" t="s">
        <v>129</v>
      </c>
      <c r="C82" s="13" t="s">
        <v>661</v>
      </c>
      <c r="D82">
        <f t="shared" si="1"/>
        <v>0</v>
      </c>
    </row>
    <row r="83">
      <c r="A83" s="22" t="s">
        <v>737</v>
      </c>
      <c r="B83" s="9" t="s">
        <v>93</v>
      </c>
      <c r="C83" s="13" t="s">
        <v>514</v>
      </c>
      <c r="D83">
        <f t="shared" si="1"/>
        <v>0</v>
      </c>
    </row>
    <row r="84">
      <c r="A84" s="22" t="s">
        <v>216</v>
      </c>
      <c r="B84" s="9" t="s">
        <v>37</v>
      </c>
      <c r="C84" s="13" t="s">
        <v>280</v>
      </c>
      <c r="D84">
        <f t="shared" si="1"/>
        <v>0</v>
      </c>
    </row>
    <row r="85">
      <c r="A85" s="22" t="s">
        <v>326</v>
      </c>
      <c r="B85" s="9" t="s">
        <v>191</v>
      </c>
      <c r="C85" s="13" t="s">
        <v>574</v>
      </c>
      <c r="D85">
        <f t="shared" si="1"/>
        <v>1</v>
      </c>
    </row>
    <row r="86">
      <c r="A86" s="22" t="s">
        <v>94</v>
      </c>
      <c r="B86" s="9" t="s">
        <v>171</v>
      </c>
      <c r="C86" s="13" t="s">
        <v>404</v>
      </c>
      <c r="D86">
        <f t="shared" si="1"/>
        <v>2</v>
      </c>
    </row>
    <row r="87">
      <c r="A87" s="22" t="s">
        <v>738</v>
      </c>
      <c r="B87" s="9" t="s">
        <v>120</v>
      </c>
      <c r="C87" s="13" t="s">
        <v>386</v>
      </c>
      <c r="D87">
        <f t="shared" si="1"/>
        <v>0</v>
      </c>
    </row>
    <row r="88">
      <c r="A88" s="22" t="s">
        <v>739</v>
      </c>
      <c r="B88" s="9" t="s">
        <v>185</v>
      </c>
      <c r="C88" s="13" t="s">
        <v>170</v>
      </c>
      <c r="D88">
        <f t="shared" si="1"/>
        <v>0</v>
      </c>
    </row>
    <row r="89">
      <c r="A89" s="22" t="s">
        <v>740</v>
      </c>
      <c r="B89" s="9" t="s">
        <v>64</v>
      </c>
      <c r="C89" s="13" t="s">
        <v>106</v>
      </c>
      <c r="D89">
        <f t="shared" si="1"/>
        <v>0</v>
      </c>
    </row>
    <row r="90">
      <c r="A90" s="22" t="s">
        <v>287</v>
      </c>
      <c r="B90" s="9" t="s">
        <v>195</v>
      </c>
      <c r="C90" s="13" t="s">
        <v>371</v>
      </c>
      <c r="D90">
        <f t="shared" si="1"/>
        <v>2</v>
      </c>
    </row>
    <row r="91">
      <c r="A91" s="22" t="s">
        <v>184</v>
      </c>
      <c r="B91" s="9" t="s">
        <v>169</v>
      </c>
      <c r="C91" s="13" t="s">
        <v>209</v>
      </c>
      <c r="D91">
        <f t="shared" si="1"/>
        <v>2</v>
      </c>
    </row>
    <row r="92">
      <c r="A92" s="22" t="s">
        <v>741</v>
      </c>
      <c r="B92" s="9" t="s">
        <v>136</v>
      </c>
      <c r="C92" s="13" t="s">
        <v>162</v>
      </c>
      <c r="D92">
        <f t="shared" si="1"/>
        <v>0</v>
      </c>
    </row>
    <row r="93">
      <c r="A93" s="22" t="s">
        <v>143</v>
      </c>
      <c r="B93" s="9" t="s">
        <v>742</v>
      </c>
      <c r="C93" s="13" t="s">
        <v>659</v>
      </c>
      <c r="D93">
        <f t="shared" si="1"/>
        <v>2</v>
      </c>
    </row>
    <row r="94">
      <c r="A94" s="22" t="s">
        <v>206</v>
      </c>
      <c r="B94" s="9" t="s">
        <v>286</v>
      </c>
      <c r="C94" s="13" t="s">
        <v>437</v>
      </c>
      <c r="D94">
        <f t="shared" si="1"/>
        <v>2</v>
      </c>
    </row>
    <row r="95">
      <c r="A95" s="22" t="s">
        <v>91</v>
      </c>
      <c r="B95" s="9" t="s">
        <v>249</v>
      </c>
      <c r="C95" s="13" t="s">
        <v>124</v>
      </c>
      <c r="D95">
        <f t="shared" si="1"/>
        <v>2</v>
      </c>
    </row>
    <row r="96">
      <c r="A96" s="22" t="s">
        <v>84</v>
      </c>
      <c r="B96" s="9" t="s">
        <v>102</v>
      </c>
      <c r="C96" s="13" t="s">
        <v>107</v>
      </c>
      <c r="D96">
        <f t="shared" si="1"/>
        <v>2</v>
      </c>
    </row>
    <row r="97">
      <c r="A97" s="22" t="s">
        <v>743</v>
      </c>
      <c r="B97" s="9" t="s">
        <v>188</v>
      </c>
      <c r="C97" s="13" t="s">
        <v>301</v>
      </c>
      <c r="D97">
        <f t="shared" si="1"/>
        <v>0</v>
      </c>
    </row>
    <row r="98">
      <c r="A98" s="13" t="s">
        <v>71</v>
      </c>
      <c r="B98" s="9" t="s">
        <v>253</v>
      </c>
      <c r="C98" s="13" t="s">
        <v>590</v>
      </c>
      <c r="D98">
        <f t="shared" si="1"/>
        <v>2</v>
      </c>
    </row>
    <row r="99">
      <c r="A99" s="13" t="s">
        <v>179</v>
      </c>
      <c r="B99" s="9" t="s">
        <v>119</v>
      </c>
      <c r="C99" s="13" t="s">
        <v>589</v>
      </c>
      <c r="D99">
        <f t="shared" si="1"/>
        <v>2</v>
      </c>
    </row>
    <row r="100">
      <c r="A100" s="22" t="s">
        <v>125</v>
      </c>
      <c r="B100" s="9" t="s">
        <v>12</v>
      </c>
      <c r="C100" s="13" t="s">
        <v>644</v>
      </c>
      <c r="D100">
        <f t="shared" si="1"/>
        <v>2</v>
      </c>
    </row>
    <row r="101">
      <c r="A101" s="13" t="s">
        <v>73</v>
      </c>
      <c r="B101" s="9" t="s">
        <v>744</v>
      </c>
      <c r="C101" s="13" t="s">
        <v>642</v>
      </c>
      <c r="D101">
        <f t="shared" si="1"/>
        <v>2</v>
      </c>
    </row>
    <row r="102">
      <c r="A102" s="22" t="s">
        <v>745</v>
      </c>
      <c r="B102" s="9" t="s">
        <v>44</v>
      </c>
      <c r="C102" s="13" t="s">
        <v>398</v>
      </c>
      <c r="D102">
        <f t="shared" si="1"/>
        <v>0</v>
      </c>
    </row>
    <row r="103">
      <c r="A103" s="13" t="s">
        <v>50</v>
      </c>
      <c r="B103" s="9" t="s">
        <v>200</v>
      </c>
      <c r="C103" s="13" t="s">
        <v>494</v>
      </c>
      <c r="D103">
        <f t="shared" si="1"/>
        <v>2</v>
      </c>
    </row>
    <row r="104">
      <c r="A104" s="22" t="s">
        <v>131</v>
      </c>
      <c r="B104" s="9" t="s">
        <v>297</v>
      </c>
      <c r="C104" s="13" t="s">
        <v>175</v>
      </c>
      <c r="D104">
        <f t="shared" si="1"/>
        <v>2</v>
      </c>
    </row>
    <row r="105">
      <c r="A105" s="22" t="s">
        <v>134</v>
      </c>
      <c r="B105" s="9" t="s">
        <v>153</v>
      </c>
      <c r="C105" s="13" t="s">
        <v>285</v>
      </c>
      <c r="D105">
        <f t="shared" si="1"/>
        <v>2</v>
      </c>
    </row>
    <row r="106">
      <c r="A106" s="22" t="s">
        <v>322</v>
      </c>
      <c r="B106" s="9" t="s">
        <v>79</v>
      </c>
      <c r="C106" s="13" t="s">
        <v>616</v>
      </c>
      <c r="D106">
        <f t="shared" si="1"/>
        <v>2</v>
      </c>
    </row>
    <row r="107">
      <c r="A107" s="22" t="s">
        <v>66</v>
      </c>
      <c r="B107" s="9" t="s">
        <v>236</v>
      </c>
      <c r="C107" s="13" t="s">
        <v>654</v>
      </c>
      <c r="D107">
        <f t="shared" si="1"/>
        <v>2</v>
      </c>
    </row>
    <row r="108">
      <c r="A108" s="13" t="s">
        <v>317</v>
      </c>
      <c r="B108" s="9" t="s">
        <v>117</v>
      </c>
      <c r="C108" s="13" t="s">
        <v>247</v>
      </c>
      <c r="D108">
        <f t="shared" si="1"/>
        <v>2</v>
      </c>
    </row>
    <row r="109">
      <c r="A109" s="13" t="s">
        <v>90</v>
      </c>
      <c r="B109" s="9" t="s">
        <v>218</v>
      </c>
      <c r="C109" s="13" t="s">
        <v>682</v>
      </c>
      <c r="D109">
        <f t="shared" si="1"/>
        <v>2</v>
      </c>
    </row>
    <row r="110">
      <c r="A110" s="22" t="s">
        <v>132</v>
      </c>
      <c r="B110" s="9" t="s">
        <v>234</v>
      </c>
      <c r="C110" s="13" t="s">
        <v>381</v>
      </c>
      <c r="D110">
        <f t="shared" si="1"/>
        <v>2</v>
      </c>
    </row>
    <row r="111">
      <c r="A111" s="13" t="s">
        <v>22</v>
      </c>
      <c r="B111" s="9" t="s">
        <v>298</v>
      </c>
      <c r="C111" s="13" t="s">
        <v>230</v>
      </c>
      <c r="D111">
        <f t="shared" si="1"/>
        <v>2</v>
      </c>
    </row>
    <row r="112">
      <c r="A112" s="22" t="s">
        <v>221</v>
      </c>
      <c r="B112" s="9" t="s">
        <v>94</v>
      </c>
      <c r="C112" s="13" t="s">
        <v>469</v>
      </c>
      <c r="D112">
        <f t="shared" si="1"/>
        <v>2</v>
      </c>
    </row>
    <row r="113">
      <c r="A113" s="22" t="s">
        <v>307</v>
      </c>
      <c r="B113" s="9" t="s">
        <v>161</v>
      </c>
      <c r="C113" s="13" t="s">
        <v>166</v>
      </c>
      <c r="D113">
        <f t="shared" si="1"/>
        <v>2</v>
      </c>
    </row>
    <row r="114">
      <c r="A114" s="13" t="s">
        <v>27</v>
      </c>
      <c r="B114" s="9" t="s">
        <v>323</v>
      </c>
      <c r="C114" s="13" t="s">
        <v>573</v>
      </c>
      <c r="D114">
        <f t="shared" si="1"/>
        <v>2</v>
      </c>
    </row>
    <row r="115">
      <c r="A115" s="22" t="s">
        <v>746</v>
      </c>
      <c r="B115" s="9" t="s">
        <v>747</v>
      </c>
      <c r="C115" s="13" t="s">
        <v>103</v>
      </c>
      <c r="D115">
        <f t="shared" si="1"/>
        <v>0</v>
      </c>
    </row>
    <row r="116">
      <c r="A116" s="13" t="s">
        <v>35</v>
      </c>
      <c r="B116" s="9" t="s">
        <v>309</v>
      </c>
      <c r="C116" s="13" t="s">
        <v>244</v>
      </c>
      <c r="D116">
        <f t="shared" si="1"/>
        <v>2</v>
      </c>
    </row>
    <row r="117">
      <c r="A117" s="22" t="s">
        <v>80</v>
      </c>
      <c r="B117" s="9" t="s">
        <v>232</v>
      </c>
      <c r="C117" s="13" t="s">
        <v>546</v>
      </c>
      <c r="D117">
        <f t="shared" si="1"/>
        <v>2</v>
      </c>
    </row>
    <row r="118">
      <c r="A118" s="13" t="s">
        <v>127</v>
      </c>
      <c r="B118" s="9" t="s">
        <v>126</v>
      </c>
      <c r="C118" s="13" t="s">
        <v>137</v>
      </c>
      <c r="D118">
        <f t="shared" si="1"/>
        <v>2</v>
      </c>
    </row>
    <row r="119">
      <c r="A119" s="22" t="s">
        <v>748</v>
      </c>
      <c r="B119" s="9" t="s">
        <v>287</v>
      </c>
      <c r="C119" s="13" t="s">
        <v>201</v>
      </c>
      <c r="D119">
        <f t="shared" si="1"/>
        <v>0</v>
      </c>
    </row>
    <row r="120">
      <c r="A120" s="22" t="s">
        <v>160</v>
      </c>
      <c r="B120" s="9" t="s">
        <v>300</v>
      </c>
      <c r="C120" s="13" t="s">
        <v>390</v>
      </c>
      <c r="D120">
        <f t="shared" si="1"/>
        <v>2</v>
      </c>
    </row>
    <row r="121">
      <c r="A121" s="22" t="s">
        <v>749</v>
      </c>
      <c r="B121" s="9" t="s">
        <v>184</v>
      </c>
      <c r="C121" s="13" t="s">
        <v>392</v>
      </c>
      <c r="D121">
        <f t="shared" si="1"/>
        <v>0</v>
      </c>
    </row>
    <row r="122">
      <c r="A122" s="22" t="s">
        <v>330</v>
      </c>
      <c r="B122" s="9" t="s">
        <v>189</v>
      </c>
      <c r="C122" s="13" t="s">
        <v>466</v>
      </c>
      <c r="D122">
        <f t="shared" si="1"/>
        <v>1</v>
      </c>
    </row>
    <row r="123">
      <c r="A123" s="22" t="s">
        <v>140</v>
      </c>
      <c r="B123" s="9" t="s">
        <v>143</v>
      </c>
      <c r="C123" s="13" t="s">
        <v>610</v>
      </c>
      <c r="D123">
        <f t="shared" si="1"/>
        <v>2</v>
      </c>
    </row>
    <row r="124">
      <c r="A124" s="22" t="s">
        <v>315</v>
      </c>
      <c r="B124" s="9" t="s">
        <v>240</v>
      </c>
      <c r="C124" s="13" t="s">
        <v>663</v>
      </c>
      <c r="D124">
        <f t="shared" si="1"/>
        <v>2</v>
      </c>
    </row>
    <row r="125">
      <c r="A125" s="22" t="s">
        <v>99</v>
      </c>
      <c r="B125" s="9" t="s">
        <v>206</v>
      </c>
      <c r="C125" s="13" t="s">
        <v>570</v>
      </c>
      <c r="D125">
        <f t="shared" si="1"/>
        <v>2</v>
      </c>
    </row>
    <row r="126">
      <c r="A126" s="22" t="s">
        <v>750</v>
      </c>
      <c r="B126" s="9" t="s">
        <v>91</v>
      </c>
      <c r="C126" s="13" t="s">
        <v>400</v>
      </c>
      <c r="D126">
        <f t="shared" si="1"/>
        <v>0</v>
      </c>
    </row>
    <row r="127">
      <c r="A127" s="22" t="s">
        <v>57</v>
      </c>
      <c r="B127" s="9" t="s">
        <v>251</v>
      </c>
      <c r="C127" s="13" t="s">
        <v>274</v>
      </c>
      <c r="D127">
        <f t="shared" si="1"/>
        <v>2</v>
      </c>
    </row>
    <row r="128">
      <c r="A128" s="22" t="s">
        <v>751</v>
      </c>
      <c r="B128" s="9" t="s">
        <v>84</v>
      </c>
      <c r="C128" s="13" t="s">
        <v>674</v>
      </c>
      <c r="D128">
        <f t="shared" si="1"/>
        <v>0</v>
      </c>
    </row>
    <row r="129">
      <c r="A129" s="13" t="s">
        <v>5</v>
      </c>
      <c r="B129" s="9" t="s">
        <v>150</v>
      </c>
      <c r="C129" s="13" t="s">
        <v>657</v>
      </c>
      <c r="D129">
        <f t="shared" si="1"/>
        <v>2</v>
      </c>
    </row>
    <row r="130">
      <c r="A130" s="13" t="s">
        <v>29</v>
      </c>
      <c r="B130" s="9" t="s">
        <v>71</v>
      </c>
      <c r="C130" s="13" t="s">
        <v>415</v>
      </c>
      <c r="D130">
        <f t="shared" si="1"/>
        <v>2</v>
      </c>
    </row>
    <row r="131">
      <c r="A131" s="13" t="s">
        <v>69</v>
      </c>
      <c r="B131" s="9" t="s">
        <v>276</v>
      </c>
      <c r="C131" s="13" t="s">
        <v>112</v>
      </c>
      <c r="D131">
        <f t="shared" si="1"/>
        <v>2</v>
      </c>
    </row>
    <row r="132">
      <c r="A132" s="22" t="s">
        <v>752</v>
      </c>
      <c r="B132" s="9" t="s">
        <v>179</v>
      </c>
      <c r="C132" s="13" t="s">
        <v>670</v>
      </c>
      <c r="D132">
        <f t="shared" si="1"/>
        <v>0</v>
      </c>
    </row>
    <row r="133">
      <c r="A133" s="22" t="s">
        <v>752</v>
      </c>
      <c r="B133" s="9" t="s">
        <v>125</v>
      </c>
      <c r="C133" s="13" t="s">
        <v>445</v>
      </c>
      <c r="D133">
        <f t="shared" si="1"/>
        <v>0</v>
      </c>
    </row>
    <row r="134">
      <c r="A134" s="22" t="s">
        <v>214</v>
      </c>
      <c r="B134" s="9" t="s">
        <v>303</v>
      </c>
      <c r="C134" s="13" t="s">
        <v>210</v>
      </c>
      <c r="D134">
        <f t="shared" si="1"/>
        <v>0</v>
      </c>
    </row>
    <row r="135">
      <c r="A135" s="22" t="s">
        <v>753</v>
      </c>
      <c r="B135" s="9" t="s">
        <v>73</v>
      </c>
      <c r="C135" s="13" t="s">
        <v>375</v>
      </c>
      <c r="D135">
        <f t="shared" si="1"/>
        <v>0</v>
      </c>
    </row>
    <row r="136">
      <c r="A136" s="22" t="s">
        <v>754</v>
      </c>
      <c r="B136" s="9" t="s">
        <v>299</v>
      </c>
      <c r="C136" s="13" t="s">
        <v>105</v>
      </c>
      <c r="D136">
        <f t="shared" si="1"/>
        <v>0</v>
      </c>
    </row>
    <row r="137">
      <c r="A137" s="22" t="s">
        <v>182</v>
      </c>
      <c r="B137" s="9" t="s">
        <v>203</v>
      </c>
      <c r="C137" s="13" t="s">
        <v>281</v>
      </c>
      <c r="D137">
        <f t="shared" si="1"/>
        <v>2</v>
      </c>
    </row>
    <row r="138">
      <c r="A138" s="22" t="s">
        <v>128</v>
      </c>
      <c r="B138" s="9" t="s">
        <v>279</v>
      </c>
      <c r="C138" s="13" t="s">
        <v>186</v>
      </c>
      <c r="D138">
        <f t="shared" si="1"/>
        <v>2</v>
      </c>
    </row>
    <row r="139">
      <c r="A139" s="22" t="s">
        <v>135</v>
      </c>
      <c r="B139" s="9" t="s">
        <v>173</v>
      </c>
      <c r="C139" s="13" t="s">
        <v>418</v>
      </c>
      <c r="D139">
        <f t="shared" si="1"/>
        <v>2</v>
      </c>
    </row>
    <row r="140">
      <c r="A140" s="22" t="s">
        <v>111</v>
      </c>
      <c r="B140" s="9" t="s">
        <v>250</v>
      </c>
      <c r="C140" s="13" t="s">
        <v>420</v>
      </c>
      <c r="D140">
        <f t="shared" si="1"/>
        <v>2</v>
      </c>
    </row>
    <row r="141">
      <c r="A141" s="22" t="s">
        <v>89</v>
      </c>
      <c r="B141" s="9" t="s">
        <v>50</v>
      </c>
      <c r="C141" s="13" t="s">
        <v>499</v>
      </c>
      <c r="D141">
        <f t="shared" si="1"/>
        <v>2</v>
      </c>
    </row>
    <row r="142">
      <c r="A142" s="22" t="s">
        <v>755</v>
      </c>
      <c r="B142" s="9" t="s">
        <v>131</v>
      </c>
      <c r="C142" s="13" t="s">
        <v>164</v>
      </c>
      <c r="D142">
        <f t="shared" si="1"/>
        <v>0</v>
      </c>
    </row>
    <row r="143">
      <c r="A143" s="22" t="s">
        <v>76</v>
      </c>
      <c r="B143" s="9" t="s">
        <v>154</v>
      </c>
      <c r="C143" s="13" t="s">
        <v>243</v>
      </c>
      <c r="D143">
        <f t="shared" si="1"/>
        <v>1</v>
      </c>
    </row>
    <row r="144">
      <c r="A144" s="22" t="s">
        <v>332</v>
      </c>
      <c r="B144" s="9" t="s">
        <v>134</v>
      </c>
      <c r="C144" s="13" t="s">
        <v>476</v>
      </c>
      <c r="D144">
        <f t="shared" si="1"/>
        <v>1</v>
      </c>
    </row>
    <row r="145">
      <c r="A145" s="22" t="s">
        <v>180</v>
      </c>
      <c r="B145" s="9" t="s">
        <v>322</v>
      </c>
      <c r="C145" s="13" t="s">
        <v>205</v>
      </c>
      <c r="D145">
        <f t="shared" si="1"/>
        <v>2</v>
      </c>
    </row>
    <row r="146">
      <c r="A146" s="22" t="s">
        <v>168</v>
      </c>
      <c r="B146" s="9" t="s">
        <v>122</v>
      </c>
      <c r="C146" s="13" t="s">
        <v>479</v>
      </c>
      <c r="D146">
        <f t="shared" si="1"/>
        <v>2</v>
      </c>
    </row>
    <row r="147">
      <c r="A147" s="13" t="s">
        <v>33</v>
      </c>
      <c r="B147" s="9" t="s">
        <v>66</v>
      </c>
      <c r="C147" s="13" t="s">
        <v>540</v>
      </c>
      <c r="D147">
        <f t="shared" si="1"/>
        <v>2</v>
      </c>
    </row>
    <row r="148">
      <c r="A148" s="22" t="s">
        <v>756</v>
      </c>
      <c r="B148" s="9" t="s">
        <v>305</v>
      </c>
      <c r="C148" s="13" t="s">
        <v>31</v>
      </c>
      <c r="D148">
        <f t="shared" si="1"/>
        <v>0</v>
      </c>
    </row>
    <row r="149">
      <c r="A149" s="22" t="s">
        <v>113</v>
      </c>
      <c r="B149" s="9" t="s">
        <v>317</v>
      </c>
      <c r="C149" s="13" t="s">
        <v>454</v>
      </c>
      <c r="D149">
        <f t="shared" si="1"/>
        <v>2</v>
      </c>
    </row>
    <row r="150">
      <c r="A150" s="22" t="s">
        <v>167</v>
      </c>
      <c r="B150" s="9" t="s">
        <v>90</v>
      </c>
      <c r="C150" s="13" t="s">
        <v>608</v>
      </c>
      <c r="D150">
        <f t="shared" si="1"/>
        <v>2</v>
      </c>
    </row>
    <row r="151">
      <c r="A151" s="13" t="s">
        <v>36</v>
      </c>
      <c r="B151" s="9" t="s">
        <v>132</v>
      </c>
      <c r="C151" s="13" t="s">
        <v>266</v>
      </c>
      <c r="D151">
        <f t="shared" si="1"/>
        <v>2</v>
      </c>
    </row>
    <row r="152">
      <c r="A152" s="13" t="s">
        <v>48</v>
      </c>
      <c r="B152" s="9" t="s">
        <v>22</v>
      </c>
      <c r="C152" s="13" t="s">
        <v>295</v>
      </c>
      <c r="D152">
        <f t="shared" si="1"/>
        <v>2</v>
      </c>
    </row>
    <row r="153">
      <c r="A153" s="22" t="s">
        <v>291</v>
      </c>
      <c r="B153" s="9" t="s">
        <v>221</v>
      </c>
      <c r="C153" s="13" t="s">
        <v>174</v>
      </c>
      <c r="D153">
        <f t="shared" si="1"/>
        <v>2</v>
      </c>
    </row>
    <row r="154">
      <c r="A154" s="22" t="s">
        <v>757</v>
      </c>
      <c r="B154" s="9" t="s">
        <v>307</v>
      </c>
      <c r="C154" s="13" t="s">
        <v>688</v>
      </c>
      <c r="D154">
        <f t="shared" si="1"/>
        <v>0</v>
      </c>
    </row>
    <row r="155">
      <c r="A155" s="22" t="s">
        <v>758</v>
      </c>
      <c r="B155" s="9" t="s">
        <v>27</v>
      </c>
      <c r="C155" s="13" t="s">
        <v>329</v>
      </c>
      <c r="D155">
        <f t="shared" si="1"/>
        <v>0</v>
      </c>
    </row>
    <row r="156">
      <c r="A156" s="22" t="s">
        <v>211</v>
      </c>
      <c r="B156" s="9" t="s">
        <v>208</v>
      </c>
      <c r="C156" s="13" t="s">
        <v>623</v>
      </c>
      <c r="D156">
        <f t="shared" si="1"/>
        <v>2</v>
      </c>
    </row>
    <row r="157">
      <c r="A157" s="22" t="s">
        <v>145</v>
      </c>
      <c r="B157" s="9" t="s">
        <v>35</v>
      </c>
      <c r="C157" s="13" t="s">
        <v>239</v>
      </c>
      <c r="D157">
        <f t="shared" si="1"/>
        <v>2</v>
      </c>
    </row>
    <row r="158">
      <c r="A158" s="22" t="s">
        <v>222</v>
      </c>
      <c r="B158" s="9" t="s">
        <v>121</v>
      </c>
      <c r="C158" s="13" t="s">
        <v>602</v>
      </c>
      <c r="D158">
        <f t="shared" si="1"/>
        <v>0</v>
      </c>
    </row>
    <row r="159">
      <c r="A159" s="13" t="s">
        <v>138</v>
      </c>
      <c r="B159" s="9" t="s">
        <v>237</v>
      </c>
      <c r="C159" s="13" t="s">
        <v>442</v>
      </c>
      <c r="D159">
        <f t="shared" si="1"/>
        <v>2</v>
      </c>
    </row>
    <row r="160">
      <c r="A160" s="22" t="s">
        <v>254</v>
      </c>
      <c r="B160" s="9" t="s">
        <v>144</v>
      </c>
      <c r="C160" s="13" t="s">
        <v>46</v>
      </c>
      <c r="D160">
        <f t="shared" si="1"/>
        <v>2</v>
      </c>
    </row>
    <row r="161">
      <c r="A161" s="13" t="s">
        <v>24</v>
      </c>
      <c r="B161" s="9" t="s">
        <v>116</v>
      </c>
      <c r="C161" s="13" t="s">
        <v>10</v>
      </c>
      <c r="D161">
        <f t="shared" si="1"/>
        <v>1</v>
      </c>
    </row>
    <row r="162">
      <c r="A162" s="22" t="s">
        <v>176</v>
      </c>
      <c r="B162" s="9" t="s">
        <v>80</v>
      </c>
      <c r="C162" s="13" t="s">
        <v>151</v>
      </c>
      <c r="D162">
        <f t="shared" si="1"/>
        <v>2</v>
      </c>
    </row>
    <row r="163">
      <c r="A163" s="22" t="s">
        <v>759</v>
      </c>
      <c r="B163" s="9" t="s">
        <v>127</v>
      </c>
      <c r="C163" s="13" t="s">
        <v>585</v>
      </c>
      <c r="D163">
        <f t="shared" si="1"/>
        <v>0</v>
      </c>
    </row>
    <row r="164">
      <c r="A164" s="22" t="s">
        <v>213</v>
      </c>
      <c r="B164" s="9" t="s">
        <v>160</v>
      </c>
      <c r="C164" s="13" t="s">
        <v>637</v>
      </c>
      <c r="D164">
        <f t="shared" si="1"/>
        <v>0</v>
      </c>
    </row>
    <row r="165">
      <c r="A165" s="22" t="s">
        <v>177</v>
      </c>
      <c r="B165" s="9" t="s">
        <v>140</v>
      </c>
      <c r="C165" s="13" t="s">
        <v>306</v>
      </c>
      <c r="D165">
        <f t="shared" si="1"/>
        <v>2</v>
      </c>
    </row>
    <row r="166">
      <c r="A166" s="22" t="s">
        <v>114</v>
      </c>
      <c r="B166" s="9" t="s">
        <v>315</v>
      </c>
      <c r="C166" s="13" t="s">
        <v>598</v>
      </c>
      <c r="D166">
        <f t="shared" si="1"/>
        <v>2</v>
      </c>
    </row>
    <row r="167">
      <c r="A167" s="22" t="s">
        <v>115</v>
      </c>
      <c r="B167" s="9" t="s">
        <v>99</v>
      </c>
      <c r="C167" s="13" t="s">
        <v>25</v>
      </c>
      <c r="D167">
        <f t="shared" si="1"/>
        <v>2</v>
      </c>
    </row>
    <row r="168">
      <c r="A168" s="13" t="s">
        <v>85</v>
      </c>
      <c r="B168" s="9" t="s">
        <v>57</v>
      </c>
      <c r="C168" s="13" t="s">
        <v>456</v>
      </c>
      <c r="D168">
        <f t="shared" si="1"/>
        <v>2</v>
      </c>
    </row>
    <row r="169">
      <c r="A169" s="22" t="s">
        <v>760</v>
      </c>
      <c r="B169" s="9" t="s">
        <v>155</v>
      </c>
      <c r="C169" s="13" t="s">
        <v>377</v>
      </c>
      <c r="D169">
        <f t="shared" si="1"/>
        <v>0</v>
      </c>
    </row>
    <row r="170">
      <c r="A170" s="13" t="s">
        <v>42</v>
      </c>
      <c r="B170" s="9" t="s">
        <v>5</v>
      </c>
      <c r="C170" s="13" t="s">
        <v>118</v>
      </c>
      <c r="D170">
        <f t="shared" si="1"/>
        <v>2</v>
      </c>
    </row>
    <row r="171">
      <c r="A171" s="22" t="s">
        <v>130</v>
      </c>
      <c r="B171" s="9" t="s">
        <v>197</v>
      </c>
      <c r="C171" s="13" t="s">
        <v>577</v>
      </c>
      <c r="D171">
        <f t="shared" si="1"/>
        <v>2</v>
      </c>
    </row>
    <row r="172">
      <c r="A172" s="22" t="s">
        <v>92</v>
      </c>
      <c r="B172" s="9" t="s">
        <v>29</v>
      </c>
      <c r="C172" s="13" t="s">
        <v>62</v>
      </c>
      <c r="D172">
        <f t="shared" si="1"/>
        <v>2</v>
      </c>
    </row>
    <row r="173">
      <c r="A173" s="13" t="s">
        <v>325</v>
      </c>
      <c r="B173" s="9" t="s">
        <v>69</v>
      </c>
      <c r="C173" s="13" t="s">
        <v>487</v>
      </c>
      <c r="D173">
        <f t="shared" si="1"/>
        <v>0</v>
      </c>
    </row>
    <row r="174">
      <c r="A174" s="22" t="s">
        <v>761</v>
      </c>
      <c r="B174" s="9" t="s">
        <v>182</v>
      </c>
      <c r="C174" s="13" t="s">
        <v>627</v>
      </c>
      <c r="D174">
        <f t="shared" si="1"/>
        <v>0</v>
      </c>
    </row>
    <row r="175">
      <c r="A175" s="13" t="s">
        <v>81</v>
      </c>
      <c r="B175" s="9" t="s">
        <v>128</v>
      </c>
      <c r="C175" s="13" t="s">
        <v>524</v>
      </c>
      <c r="D175">
        <f t="shared" si="1"/>
        <v>2</v>
      </c>
    </row>
    <row r="176">
      <c r="A176" s="13" t="s">
        <v>108</v>
      </c>
      <c r="B176" s="9" t="s">
        <v>283</v>
      </c>
      <c r="C176" s="13" t="s">
        <v>498</v>
      </c>
      <c r="D176">
        <f t="shared" si="1"/>
        <v>2</v>
      </c>
    </row>
    <row r="177">
      <c r="A177" s="22" t="s">
        <v>316</v>
      </c>
      <c r="B177" s="9" t="s">
        <v>135</v>
      </c>
      <c r="C177" s="13" t="s">
        <v>645</v>
      </c>
      <c r="D177">
        <f t="shared" si="1"/>
        <v>2</v>
      </c>
    </row>
    <row r="178">
      <c r="A178" s="22" t="s">
        <v>104</v>
      </c>
      <c r="B178" s="9" t="s">
        <v>142</v>
      </c>
      <c r="C178" s="13" t="s">
        <v>288</v>
      </c>
      <c r="D178">
        <f t="shared" si="1"/>
        <v>2</v>
      </c>
    </row>
    <row r="179">
      <c r="A179" s="22" t="s">
        <v>328</v>
      </c>
      <c r="B179" s="9" t="s">
        <v>111</v>
      </c>
      <c r="C179" s="13" t="s">
        <v>609</v>
      </c>
      <c r="D179">
        <f t="shared" si="1"/>
        <v>0</v>
      </c>
    </row>
    <row r="180">
      <c r="A180" s="13" t="s">
        <v>18</v>
      </c>
      <c r="B180" s="9" t="s">
        <v>89</v>
      </c>
      <c r="C180" s="13" t="s">
        <v>82</v>
      </c>
      <c r="D180">
        <f t="shared" si="1"/>
        <v>2</v>
      </c>
    </row>
    <row r="181">
      <c r="A181" s="22" t="s">
        <v>762</v>
      </c>
      <c r="B181" s="9" t="s">
        <v>212</v>
      </c>
      <c r="C181" s="13" t="s">
        <v>324</v>
      </c>
      <c r="D181">
        <f t="shared" si="1"/>
        <v>0</v>
      </c>
    </row>
    <row r="182">
      <c r="A182" s="22" t="s">
        <v>333</v>
      </c>
      <c r="B182" s="9" t="s">
        <v>763</v>
      </c>
      <c r="C182" s="13" t="s">
        <v>165</v>
      </c>
      <c r="D182">
        <f t="shared" si="1"/>
        <v>0</v>
      </c>
    </row>
    <row r="183">
      <c r="A183" s="13" t="s">
        <v>100</v>
      </c>
      <c r="B183" s="9" t="s">
        <v>196</v>
      </c>
      <c r="C183" s="13" t="s">
        <v>421</v>
      </c>
      <c r="D183">
        <f t="shared" si="1"/>
        <v>2</v>
      </c>
    </row>
    <row r="184">
      <c r="A184" s="13" t="s">
        <v>55</v>
      </c>
      <c r="B184" s="9" t="s">
        <v>228</v>
      </c>
      <c r="C184" s="13" t="s">
        <v>638</v>
      </c>
      <c r="D184">
        <f t="shared" si="1"/>
        <v>2</v>
      </c>
    </row>
    <row r="185">
      <c r="A185" s="22" t="s">
        <v>764</v>
      </c>
      <c r="B185" s="9" t="s">
        <v>233</v>
      </c>
      <c r="C185" s="13" t="s">
        <v>516</v>
      </c>
      <c r="D185">
        <f t="shared" si="1"/>
        <v>0</v>
      </c>
    </row>
    <row r="186">
      <c r="A186" s="13" t="s">
        <v>52</v>
      </c>
      <c r="B186" s="9" t="s">
        <v>180</v>
      </c>
      <c r="C186" s="13" t="s">
        <v>129</v>
      </c>
      <c r="D186">
        <f t="shared" si="1"/>
        <v>2</v>
      </c>
    </row>
    <row r="187">
      <c r="A187" s="22" t="s">
        <v>139</v>
      </c>
      <c r="B187" s="9" t="s">
        <v>168</v>
      </c>
      <c r="C187" s="13" t="s">
        <v>93</v>
      </c>
      <c r="D187">
        <f t="shared" si="1"/>
        <v>2</v>
      </c>
    </row>
    <row r="188">
      <c r="A188" s="22" t="s">
        <v>765</v>
      </c>
      <c r="B188" s="9" t="s">
        <v>33</v>
      </c>
      <c r="C188" s="13" t="s">
        <v>37</v>
      </c>
      <c r="D188">
        <f t="shared" si="1"/>
        <v>0</v>
      </c>
    </row>
    <row r="189">
      <c r="A189" s="22" t="s">
        <v>766</v>
      </c>
      <c r="B189" s="9" t="s">
        <v>113</v>
      </c>
      <c r="C189" s="13" t="s">
        <v>191</v>
      </c>
      <c r="D189">
        <f t="shared" si="1"/>
        <v>0</v>
      </c>
    </row>
    <row r="190">
      <c r="A190" s="22" t="s">
        <v>101</v>
      </c>
      <c r="B190" s="9" t="s">
        <v>167</v>
      </c>
      <c r="C190" s="13" t="s">
        <v>171</v>
      </c>
      <c r="D190">
        <f t="shared" si="1"/>
        <v>2</v>
      </c>
    </row>
    <row r="191">
      <c r="A191" s="13" t="s">
        <v>8</v>
      </c>
      <c r="B191" s="9" t="s">
        <v>36</v>
      </c>
      <c r="C191" s="13" t="s">
        <v>120</v>
      </c>
      <c r="D191">
        <f t="shared" si="1"/>
        <v>1</v>
      </c>
    </row>
    <row r="192">
      <c r="A192" s="22" t="s">
        <v>98</v>
      </c>
      <c r="B192" s="9" t="s">
        <v>48</v>
      </c>
      <c r="C192" s="13" t="s">
        <v>586</v>
      </c>
      <c r="D192">
        <f t="shared" si="1"/>
        <v>2</v>
      </c>
    </row>
    <row r="193">
      <c r="A193" s="13" t="s">
        <v>58</v>
      </c>
      <c r="B193" s="9" t="s">
        <v>291</v>
      </c>
      <c r="C193" s="13" t="s">
        <v>525</v>
      </c>
      <c r="D193">
        <f t="shared" si="1"/>
        <v>2</v>
      </c>
    </row>
    <row r="194">
      <c r="A194" s="22" t="s">
        <v>767</v>
      </c>
      <c r="B194" s="9" t="s">
        <v>202</v>
      </c>
      <c r="C194" s="13" t="s">
        <v>185</v>
      </c>
      <c r="D194">
        <f t="shared" si="1"/>
        <v>0</v>
      </c>
    </row>
    <row r="195">
      <c r="A195" s="22" t="s">
        <v>331</v>
      </c>
      <c r="B195" s="9" t="s">
        <v>187</v>
      </c>
      <c r="C195" s="13" t="s">
        <v>475</v>
      </c>
      <c r="D195">
        <f t="shared" si="1"/>
        <v>1</v>
      </c>
    </row>
    <row r="196">
      <c r="A196" s="22" t="s">
        <v>768</v>
      </c>
      <c r="B196" s="9" t="s">
        <v>211</v>
      </c>
      <c r="C196" s="13" t="s">
        <v>64</v>
      </c>
      <c r="D196">
        <f t="shared" si="1"/>
        <v>0</v>
      </c>
    </row>
    <row r="197">
      <c r="A197" s="22" t="s">
        <v>152</v>
      </c>
      <c r="B197" s="9" t="s">
        <v>163</v>
      </c>
      <c r="C197" s="13" t="s">
        <v>195</v>
      </c>
      <c r="D197">
        <f t="shared" si="1"/>
        <v>2</v>
      </c>
    </row>
    <row r="198">
      <c r="A198" s="13" t="s">
        <v>56</v>
      </c>
      <c r="B198" s="9" t="s">
        <v>145</v>
      </c>
      <c r="C198" s="13" t="s">
        <v>169</v>
      </c>
      <c r="D198">
        <f t="shared" si="1"/>
        <v>2</v>
      </c>
    </row>
    <row r="199">
      <c r="A199" s="22" t="s">
        <v>110</v>
      </c>
      <c r="B199" s="9" t="s">
        <v>138</v>
      </c>
      <c r="C199" s="13" t="s">
        <v>635</v>
      </c>
      <c r="D199">
        <f t="shared" si="1"/>
        <v>1</v>
      </c>
    </row>
    <row r="200">
      <c r="A200" s="22" t="s">
        <v>769</v>
      </c>
      <c r="B200" s="9" t="s">
        <v>321</v>
      </c>
      <c r="C200" s="13" t="s">
        <v>136</v>
      </c>
      <c r="D200">
        <f t="shared" si="1"/>
        <v>0</v>
      </c>
    </row>
    <row r="201">
      <c r="A201" s="13" t="s">
        <v>59</v>
      </c>
      <c r="B201" s="9" t="s">
        <v>192</v>
      </c>
      <c r="C201" s="13" t="s">
        <v>624</v>
      </c>
      <c r="D201">
        <f t="shared" si="1"/>
        <v>2</v>
      </c>
    </row>
    <row r="202">
      <c r="B202" s="9" t="s">
        <v>254</v>
      </c>
      <c r="C202" s="13" t="s">
        <v>399</v>
      </c>
      <c r="D202">
        <f t="shared" si="1"/>
        <v>0</v>
      </c>
    </row>
    <row r="203">
      <c r="B203" s="9" t="s">
        <v>770</v>
      </c>
      <c r="C203" s="13" t="s">
        <v>538</v>
      </c>
      <c r="D203">
        <f t="shared" si="1"/>
        <v>0</v>
      </c>
    </row>
    <row r="204">
      <c r="B204" s="9" t="s">
        <v>771</v>
      </c>
      <c r="C204" s="13" t="s">
        <v>542</v>
      </c>
      <c r="D204">
        <f t="shared" si="1"/>
        <v>0</v>
      </c>
    </row>
    <row r="205">
      <c r="B205" s="9" t="s">
        <v>176</v>
      </c>
      <c r="C205" s="13" t="s">
        <v>613</v>
      </c>
      <c r="D205">
        <f t="shared" si="1"/>
        <v>0</v>
      </c>
    </row>
    <row r="206">
      <c r="B206" s="9" t="s">
        <v>772</v>
      </c>
      <c r="C206" s="13" t="s">
        <v>468</v>
      </c>
      <c r="D206">
        <f t="shared" si="1"/>
        <v>0</v>
      </c>
    </row>
    <row r="207">
      <c r="B207" s="9" t="s">
        <v>157</v>
      </c>
      <c r="C207" s="13" t="s">
        <v>532</v>
      </c>
      <c r="D207">
        <f t="shared" si="1"/>
        <v>0</v>
      </c>
    </row>
    <row r="208">
      <c r="B208" s="9" t="s">
        <v>248</v>
      </c>
      <c r="C208" s="13" t="s">
        <v>646</v>
      </c>
      <c r="D208">
        <f t="shared" si="1"/>
        <v>0</v>
      </c>
    </row>
    <row r="209">
      <c r="B209" s="9" t="s">
        <v>177</v>
      </c>
      <c r="C209" s="13" t="s">
        <v>286</v>
      </c>
      <c r="D209">
        <f t="shared" si="1"/>
        <v>0</v>
      </c>
    </row>
    <row r="210">
      <c r="B210" s="9" t="s">
        <v>114</v>
      </c>
      <c r="C210" s="13" t="s">
        <v>472</v>
      </c>
      <c r="D210">
        <f t="shared" si="1"/>
        <v>0</v>
      </c>
    </row>
    <row r="211">
      <c r="B211" s="9" t="s">
        <v>257</v>
      </c>
      <c r="C211" s="13" t="s">
        <v>249</v>
      </c>
      <c r="D211">
        <f t="shared" si="1"/>
        <v>0</v>
      </c>
    </row>
    <row r="212">
      <c r="B212" s="9" t="s">
        <v>773</v>
      </c>
      <c r="C212" s="13" t="s">
        <v>102</v>
      </c>
      <c r="D212">
        <f t="shared" si="1"/>
        <v>0</v>
      </c>
    </row>
    <row r="213">
      <c r="B213" s="9" t="s">
        <v>115</v>
      </c>
      <c r="C213" s="13" t="s">
        <v>428</v>
      </c>
      <c r="D213">
        <f t="shared" si="1"/>
        <v>0</v>
      </c>
    </row>
    <row r="214">
      <c r="B214" s="9" t="s">
        <v>85</v>
      </c>
      <c r="C214" s="13" t="s">
        <v>188</v>
      </c>
      <c r="D214">
        <f t="shared" si="1"/>
        <v>0</v>
      </c>
    </row>
    <row r="215">
      <c r="B215" s="9" t="s">
        <v>774</v>
      </c>
      <c r="C215" s="13" t="s">
        <v>253</v>
      </c>
      <c r="D215">
        <f t="shared" si="1"/>
        <v>0</v>
      </c>
    </row>
    <row r="216">
      <c r="B216" s="9" t="s">
        <v>775</v>
      </c>
      <c r="C216" s="13" t="s">
        <v>601</v>
      </c>
      <c r="D216">
        <f t="shared" si="1"/>
        <v>0</v>
      </c>
    </row>
    <row r="217">
      <c r="B217" s="9" t="s">
        <v>14</v>
      </c>
      <c r="C217" s="13" t="s">
        <v>529</v>
      </c>
      <c r="D217">
        <f t="shared" si="1"/>
        <v>0</v>
      </c>
    </row>
    <row r="218">
      <c r="B218" s="9" t="s">
        <v>289</v>
      </c>
      <c r="C218" s="13" t="s">
        <v>119</v>
      </c>
      <c r="D218">
        <f t="shared" si="1"/>
        <v>0</v>
      </c>
    </row>
    <row r="219">
      <c r="B219" s="9" t="s">
        <v>313</v>
      </c>
      <c r="C219" s="13" t="s">
        <v>12</v>
      </c>
      <c r="D219">
        <f t="shared" si="1"/>
        <v>0</v>
      </c>
    </row>
    <row r="220">
      <c r="B220" s="9" t="s">
        <v>156</v>
      </c>
      <c r="C220" s="13" t="s">
        <v>543</v>
      </c>
      <c r="D220">
        <f t="shared" si="1"/>
        <v>0</v>
      </c>
    </row>
    <row r="221">
      <c r="B221" s="9" t="s">
        <v>42</v>
      </c>
      <c r="C221" s="13" t="s">
        <v>578</v>
      </c>
      <c r="D221">
        <f t="shared" si="1"/>
        <v>0</v>
      </c>
    </row>
    <row r="222">
      <c r="B222" s="9" t="s">
        <v>193</v>
      </c>
      <c r="C222" s="13" t="s">
        <v>44</v>
      </c>
      <c r="D222">
        <f t="shared" si="1"/>
        <v>0</v>
      </c>
    </row>
    <row r="223">
      <c r="B223" s="9" t="s">
        <v>231</v>
      </c>
      <c r="C223" s="13" t="s">
        <v>440</v>
      </c>
      <c r="D223">
        <f t="shared" si="1"/>
        <v>0</v>
      </c>
    </row>
    <row r="224">
      <c r="B224" s="9" t="s">
        <v>130</v>
      </c>
      <c r="C224" s="13" t="s">
        <v>653</v>
      </c>
      <c r="D224">
        <f t="shared" si="1"/>
        <v>0</v>
      </c>
    </row>
    <row r="225">
      <c r="B225" s="9" t="s">
        <v>92</v>
      </c>
      <c r="C225" s="13" t="s">
        <v>200</v>
      </c>
      <c r="D225">
        <f t="shared" si="1"/>
        <v>0</v>
      </c>
    </row>
    <row r="226">
      <c r="B226" s="9" t="s">
        <v>252</v>
      </c>
      <c r="C226" s="13" t="s">
        <v>297</v>
      </c>
      <c r="D226">
        <f t="shared" si="1"/>
        <v>0</v>
      </c>
    </row>
    <row r="227">
      <c r="B227" s="9" t="s">
        <v>86</v>
      </c>
      <c r="C227" s="13" t="s">
        <v>376</v>
      </c>
      <c r="D227">
        <f t="shared" si="1"/>
        <v>0</v>
      </c>
    </row>
    <row r="228">
      <c r="B228" s="9" t="s">
        <v>81</v>
      </c>
      <c r="C228" s="13" t="s">
        <v>408</v>
      </c>
      <c r="D228">
        <f t="shared" si="1"/>
        <v>0</v>
      </c>
    </row>
    <row r="229">
      <c r="B229" s="9" t="s">
        <v>108</v>
      </c>
      <c r="C229" s="13" t="s">
        <v>153</v>
      </c>
      <c r="D229">
        <f t="shared" si="1"/>
        <v>0</v>
      </c>
    </row>
    <row r="230">
      <c r="B230" s="9" t="s">
        <v>319</v>
      </c>
      <c r="C230" s="13" t="s">
        <v>79</v>
      </c>
      <c r="D230">
        <f t="shared" si="1"/>
        <v>0</v>
      </c>
    </row>
    <row r="231">
      <c r="B231" s="9" t="s">
        <v>275</v>
      </c>
      <c r="C231" s="13" t="s">
        <v>236</v>
      </c>
      <c r="D231">
        <f t="shared" si="1"/>
        <v>0</v>
      </c>
    </row>
    <row r="232">
      <c r="B232" s="9" t="s">
        <v>296</v>
      </c>
      <c r="C232" s="13" t="s">
        <v>117</v>
      </c>
      <c r="D232">
        <f t="shared" si="1"/>
        <v>0</v>
      </c>
    </row>
    <row r="233">
      <c r="B233" s="9" t="s">
        <v>267</v>
      </c>
      <c r="C233" s="13" t="s">
        <v>218</v>
      </c>
      <c r="D233">
        <f t="shared" si="1"/>
        <v>0</v>
      </c>
    </row>
    <row r="234">
      <c r="B234" s="9" t="s">
        <v>263</v>
      </c>
      <c r="C234" s="13" t="s">
        <v>234</v>
      </c>
      <c r="D234">
        <f t="shared" si="1"/>
        <v>0</v>
      </c>
    </row>
    <row r="235">
      <c r="B235" s="9" t="s">
        <v>776</v>
      </c>
      <c r="C235" s="13" t="s">
        <v>298</v>
      </c>
      <c r="D235">
        <f t="shared" si="1"/>
        <v>0</v>
      </c>
    </row>
    <row r="236">
      <c r="B236" s="9" t="s">
        <v>304</v>
      </c>
      <c r="C236" s="13" t="s">
        <v>326</v>
      </c>
      <c r="D236">
        <f t="shared" si="1"/>
        <v>0</v>
      </c>
    </row>
    <row r="237">
      <c r="B237" s="9" t="s">
        <v>316</v>
      </c>
      <c r="C237" s="13" t="s">
        <v>595</v>
      </c>
      <c r="D237">
        <f t="shared" si="1"/>
        <v>0</v>
      </c>
    </row>
    <row r="238">
      <c r="B238" s="9" t="s">
        <v>194</v>
      </c>
      <c r="C238" s="13" t="s">
        <v>94</v>
      </c>
      <c r="D238">
        <f t="shared" si="1"/>
        <v>0</v>
      </c>
    </row>
    <row r="239">
      <c r="B239" s="9" t="s">
        <v>104</v>
      </c>
      <c r="C239" s="13" t="s">
        <v>568</v>
      </c>
      <c r="D239">
        <f t="shared" si="1"/>
        <v>0</v>
      </c>
    </row>
    <row r="240">
      <c r="B240" s="9" t="s">
        <v>18</v>
      </c>
      <c r="C240" s="13" t="s">
        <v>426</v>
      </c>
      <c r="D240">
        <f t="shared" si="1"/>
        <v>0</v>
      </c>
    </row>
    <row r="241">
      <c r="B241" s="9" t="s">
        <v>100</v>
      </c>
      <c r="C241" s="13" t="s">
        <v>450</v>
      </c>
      <c r="D241">
        <f t="shared" si="1"/>
        <v>0</v>
      </c>
    </row>
    <row r="242">
      <c r="B242" s="9" t="s">
        <v>246</v>
      </c>
      <c r="C242" s="13" t="s">
        <v>379</v>
      </c>
      <c r="D242">
        <f t="shared" si="1"/>
        <v>0</v>
      </c>
    </row>
    <row r="243">
      <c r="B243" s="9" t="s">
        <v>55</v>
      </c>
      <c r="C243" s="13" t="s">
        <v>681</v>
      </c>
      <c r="D243">
        <f t="shared" si="1"/>
        <v>0</v>
      </c>
    </row>
    <row r="244">
      <c r="B244" s="9" t="s">
        <v>220</v>
      </c>
      <c r="C244" s="13" t="s">
        <v>521</v>
      </c>
      <c r="D244">
        <f t="shared" si="1"/>
        <v>0</v>
      </c>
    </row>
    <row r="245">
      <c r="B245" s="9" t="s">
        <v>133</v>
      </c>
      <c r="C245" s="13" t="s">
        <v>161</v>
      </c>
      <c r="D245">
        <f t="shared" si="1"/>
        <v>0</v>
      </c>
    </row>
    <row r="246">
      <c r="B246" s="9" t="s">
        <v>278</v>
      </c>
      <c r="C246" s="13" t="s">
        <v>323</v>
      </c>
      <c r="D246">
        <f t="shared" si="1"/>
        <v>0</v>
      </c>
    </row>
    <row r="247">
      <c r="B247" s="9" t="s">
        <v>52</v>
      </c>
      <c r="C247" s="13" t="s">
        <v>431</v>
      </c>
      <c r="D247">
        <f t="shared" si="1"/>
        <v>0</v>
      </c>
    </row>
    <row r="248">
      <c r="B248" s="9" t="s">
        <v>139</v>
      </c>
      <c r="C248" s="13" t="s">
        <v>309</v>
      </c>
      <c r="D248">
        <f t="shared" si="1"/>
        <v>0</v>
      </c>
    </row>
    <row r="249">
      <c r="B249" s="9" t="s">
        <v>284</v>
      </c>
      <c r="C249" s="13" t="s">
        <v>232</v>
      </c>
      <c r="D249">
        <f t="shared" si="1"/>
        <v>0</v>
      </c>
    </row>
    <row r="250">
      <c r="B250" s="9" t="s">
        <v>277</v>
      </c>
      <c r="C250" s="13" t="s">
        <v>662</v>
      </c>
      <c r="D250">
        <f t="shared" si="1"/>
        <v>0</v>
      </c>
    </row>
    <row r="251">
      <c r="B251" s="9" t="s">
        <v>260</v>
      </c>
      <c r="C251" s="13" t="s">
        <v>432</v>
      </c>
      <c r="D251">
        <f t="shared" si="1"/>
        <v>0</v>
      </c>
    </row>
    <row r="252">
      <c r="B252" s="9" t="s">
        <v>308</v>
      </c>
      <c r="C252" s="13" t="s">
        <v>569</v>
      </c>
      <c r="D252">
        <f t="shared" si="1"/>
        <v>0</v>
      </c>
    </row>
    <row r="253">
      <c r="B253" s="9" t="s">
        <v>261</v>
      </c>
      <c r="C253" s="13" t="s">
        <v>359</v>
      </c>
      <c r="D253">
        <f t="shared" si="1"/>
        <v>0</v>
      </c>
    </row>
    <row r="254">
      <c r="B254" s="9" t="s">
        <v>256</v>
      </c>
      <c r="C254" s="13" t="s">
        <v>531</v>
      </c>
      <c r="D254">
        <f t="shared" si="1"/>
        <v>0</v>
      </c>
    </row>
    <row r="255">
      <c r="B255" s="9" t="s">
        <v>101</v>
      </c>
      <c r="C255" s="13" t="s">
        <v>126</v>
      </c>
      <c r="D255">
        <f t="shared" si="1"/>
        <v>0</v>
      </c>
    </row>
    <row r="256">
      <c r="B256" s="9" t="s">
        <v>777</v>
      </c>
      <c r="C256" s="13" t="s">
        <v>287</v>
      </c>
      <c r="D256">
        <f t="shared" si="1"/>
        <v>0</v>
      </c>
    </row>
    <row r="257">
      <c r="B257" s="9" t="s">
        <v>190</v>
      </c>
      <c r="C257" s="13" t="s">
        <v>300</v>
      </c>
      <c r="D257">
        <f t="shared" si="1"/>
        <v>0</v>
      </c>
    </row>
    <row r="258">
      <c r="B258" s="9" t="s">
        <v>778</v>
      </c>
      <c r="C258" s="13" t="s">
        <v>593</v>
      </c>
      <c r="D258">
        <f t="shared" si="1"/>
        <v>0</v>
      </c>
    </row>
    <row r="259">
      <c r="B259" s="9" t="s">
        <v>779</v>
      </c>
      <c r="C259" s="13" t="s">
        <v>184</v>
      </c>
      <c r="D259">
        <f t="shared" si="1"/>
        <v>0</v>
      </c>
    </row>
    <row r="260">
      <c r="B260" s="9" t="s">
        <v>98</v>
      </c>
      <c r="C260" s="13" t="s">
        <v>189</v>
      </c>
      <c r="D260">
        <f t="shared" si="1"/>
        <v>0</v>
      </c>
    </row>
    <row r="261">
      <c r="B261" s="9" t="s">
        <v>273</v>
      </c>
      <c r="C261" s="13" t="s">
        <v>143</v>
      </c>
      <c r="D261">
        <f t="shared" si="1"/>
        <v>0</v>
      </c>
    </row>
    <row r="262">
      <c r="B262" s="9" t="s">
        <v>58</v>
      </c>
      <c r="C262" s="13" t="s">
        <v>240</v>
      </c>
      <c r="D262">
        <f t="shared" si="1"/>
        <v>0</v>
      </c>
    </row>
    <row r="263">
      <c r="B263" s="9" t="s">
        <v>152</v>
      </c>
      <c r="C263" s="13" t="s">
        <v>206</v>
      </c>
      <c r="D263">
        <f t="shared" si="1"/>
        <v>0</v>
      </c>
    </row>
    <row r="264">
      <c r="B264" s="9" t="s">
        <v>141</v>
      </c>
      <c r="C264" s="13" t="s">
        <v>455</v>
      </c>
      <c r="D264">
        <f t="shared" si="1"/>
        <v>0</v>
      </c>
    </row>
    <row r="265">
      <c r="B265" s="9" t="s">
        <v>258</v>
      </c>
      <c r="C265" s="13" t="s">
        <v>427</v>
      </c>
      <c r="D265">
        <f t="shared" si="1"/>
        <v>0</v>
      </c>
    </row>
    <row r="266">
      <c r="B266" s="9" t="s">
        <v>178</v>
      </c>
      <c r="C266" s="13" t="s">
        <v>91</v>
      </c>
      <c r="D266">
        <f t="shared" si="1"/>
        <v>0</v>
      </c>
    </row>
    <row r="267">
      <c r="B267" s="9" t="s">
        <v>312</v>
      </c>
      <c r="C267" s="13" t="s">
        <v>416</v>
      </c>
      <c r="D267">
        <f t="shared" si="1"/>
        <v>0</v>
      </c>
    </row>
    <row r="268">
      <c r="B268" s="9" t="s">
        <v>147</v>
      </c>
      <c r="C268" s="13" t="s">
        <v>403</v>
      </c>
      <c r="D268">
        <f t="shared" si="1"/>
        <v>0</v>
      </c>
    </row>
    <row r="269">
      <c r="B269" s="9" t="s">
        <v>56</v>
      </c>
      <c r="C269" s="13" t="s">
        <v>630</v>
      </c>
      <c r="D269">
        <f t="shared" si="1"/>
        <v>0</v>
      </c>
    </row>
    <row r="270">
      <c r="B270" s="9" t="s">
        <v>270</v>
      </c>
      <c r="C270" s="13" t="s">
        <v>597</v>
      </c>
      <c r="D270">
        <f t="shared" si="1"/>
        <v>0</v>
      </c>
    </row>
    <row r="271">
      <c r="B271" s="9" t="s">
        <v>255</v>
      </c>
      <c r="C271" s="13" t="s">
        <v>251</v>
      </c>
      <c r="D271">
        <f t="shared" si="1"/>
        <v>0</v>
      </c>
    </row>
    <row r="272">
      <c r="B272" s="9" t="s">
        <v>241</v>
      </c>
      <c r="C272" s="13" t="s">
        <v>84</v>
      </c>
      <c r="D272">
        <f t="shared" si="1"/>
        <v>0</v>
      </c>
    </row>
    <row r="273">
      <c r="B273" s="9" t="s">
        <v>311</v>
      </c>
      <c r="C273" s="13" t="s">
        <v>680</v>
      </c>
      <c r="D273">
        <f t="shared" si="1"/>
        <v>0</v>
      </c>
    </row>
    <row r="274">
      <c r="B274" s="9" t="s">
        <v>780</v>
      </c>
      <c r="C274" s="13" t="s">
        <v>423</v>
      </c>
      <c r="D274">
        <f t="shared" si="1"/>
        <v>0</v>
      </c>
    </row>
    <row r="275">
      <c r="B275" s="9" t="s">
        <v>310</v>
      </c>
      <c r="C275" s="13" t="s">
        <v>557</v>
      </c>
      <c r="D275">
        <f t="shared" si="1"/>
        <v>0</v>
      </c>
    </row>
    <row r="276">
      <c r="B276" s="9" t="s">
        <v>293</v>
      </c>
      <c r="C276" s="13" t="s">
        <v>615</v>
      </c>
      <c r="D276">
        <f t="shared" si="1"/>
        <v>0</v>
      </c>
    </row>
    <row r="277">
      <c r="B277" s="9" t="s">
        <v>229</v>
      </c>
      <c r="C277" s="13" t="s">
        <v>441</v>
      </c>
      <c r="D277">
        <f t="shared" si="1"/>
        <v>0</v>
      </c>
    </row>
    <row r="278">
      <c r="B278" s="9" t="s">
        <v>781</v>
      </c>
      <c r="C278" s="13" t="s">
        <v>150</v>
      </c>
      <c r="D278">
        <f t="shared" si="1"/>
        <v>0</v>
      </c>
    </row>
    <row r="279">
      <c r="B279" s="9" t="s">
        <v>269</v>
      </c>
      <c r="C279" s="13" t="s">
        <v>501</v>
      </c>
      <c r="D279">
        <f t="shared" si="1"/>
        <v>0</v>
      </c>
    </row>
    <row r="280">
      <c r="B280" s="9" t="s">
        <v>59</v>
      </c>
      <c r="C280" s="13" t="s">
        <v>448</v>
      </c>
      <c r="D280">
        <f t="shared" si="1"/>
        <v>0</v>
      </c>
    </row>
    <row r="281">
      <c r="B281" s="9" t="s">
        <v>271</v>
      </c>
      <c r="C281" s="13" t="s">
        <v>417</v>
      </c>
      <c r="D281">
        <f t="shared" si="1"/>
        <v>0</v>
      </c>
    </row>
    <row r="282">
      <c r="C282" s="13" t="s">
        <v>618</v>
      </c>
      <c r="D282">
        <f t="shared" si="1"/>
        <v>0</v>
      </c>
    </row>
    <row r="283">
      <c r="C283" s="13" t="s">
        <v>71</v>
      </c>
      <c r="D283">
        <f t="shared" si="1"/>
        <v>0</v>
      </c>
    </row>
    <row r="284">
      <c r="C284" s="13" t="s">
        <v>508</v>
      </c>
      <c r="D284">
        <f t="shared" si="1"/>
        <v>0</v>
      </c>
    </row>
    <row r="285">
      <c r="C285" s="13" t="s">
        <v>276</v>
      </c>
      <c r="D285">
        <f t="shared" si="1"/>
        <v>0</v>
      </c>
    </row>
    <row r="286">
      <c r="C286" s="13" t="s">
        <v>451</v>
      </c>
      <c r="D286">
        <f t="shared" si="1"/>
        <v>0</v>
      </c>
    </row>
    <row r="287">
      <c r="C287" s="13" t="s">
        <v>179</v>
      </c>
      <c r="D287">
        <f t="shared" si="1"/>
        <v>0</v>
      </c>
    </row>
    <row r="288">
      <c r="C288" s="13" t="s">
        <v>125</v>
      </c>
      <c r="D288">
        <f t="shared" si="1"/>
        <v>0</v>
      </c>
    </row>
    <row r="289">
      <c r="C289" s="13" t="s">
        <v>303</v>
      </c>
      <c r="D289">
        <f t="shared" si="1"/>
        <v>0</v>
      </c>
    </row>
    <row r="290">
      <c r="C290" s="13" t="s">
        <v>73</v>
      </c>
      <c r="D290">
        <f t="shared" si="1"/>
        <v>0</v>
      </c>
    </row>
    <row r="291">
      <c r="C291" s="13" t="s">
        <v>678</v>
      </c>
      <c r="D291">
        <f t="shared" si="1"/>
        <v>0</v>
      </c>
    </row>
    <row r="292">
      <c r="C292" s="13" t="s">
        <v>299</v>
      </c>
      <c r="D292">
        <f t="shared" si="1"/>
        <v>0</v>
      </c>
    </row>
    <row r="293">
      <c r="C293" s="13" t="s">
        <v>203</v>
      </c>
      <c r="D293">
        <f t="shared" si="1"/>
        <v>0</v>
      </c>
    </row>
    <row r="294">
      <c r="C294" s="13" t="s">
        <v>279</v>
      </c>
      <c r="D294">
        <f t="shared" si="1"/>
        <v>0</v>
      </c>
    </row>
    <row r="295">
      <c r="C295" s="13" t="s">
        <v>173</v>
      </c>
      <c r="D295">
        <f t="shared" si="1"/>
        <v>0</v>
      </c>
    </row>
    <row r="296">
      <c r="C296" s="13" t="s">
        <v>459</v>
      </c>
      <c r="D296">
        <f t="shared" si="1"/>
        <v>0</v>
      </c>
    </row>
    <row r="297">
      <c r="C297" s="13" t="s">
        <v>250</v>
      </c>
      <c r="D297">
        <f t="shared" si="1"/>
        <v>0</v>
      </c>
    </row>
    <row r="298">
      <c r="C298" s="13" t="s">
        <v>369</v>
      </c>
      <c r="D298">
        <f t="shared" si="1"/>
        <v>0</v>
      </c>
    </row>
    <row r="299">
      <c r="C299" s="13" t="s">
        <v>497</v>
      </c>
      <c r="D299">
        <f t="shared" si="1"/>
        <v>0</v>
      </c>
    </row>
    <row r="300">
      <c r="C300" s="13" t="s">
        <v>473</v>
      </c>
      <c r="D300">
        <f t="shared" si="1"/>
        <v>0</v>
      </c>
    </row>
    <row r="301">
      <c r="C301" s="13" t="s">
        <v>50</v>
      </c>
      <c r="D301">
        <f t="shared" si="1"/>
        <v>0</v>
      </c>
    </row>
    <row r="302">
      <c r="C302" s="13" t="s">
        <v>443</v>
      </c>
      <c r="D302">
        <f t="shared" si="1"/>
        <v>0</v>
      </c>
    </row>
    <row r="303">
      <c r="C303" s="13" t="s">
        <v>628</v>
      </c>
      <c r="D303">
        <f t="shared" si="1"/>
        <v>0</v>
      </c>
    </row>
    <row r="304">
      <c r="C304" s="13" t="s">
        <v>131</v>
      </c>
      <c r="D304">
        <f t="shared" si="1"/>
        <v>0</v>
      </c>
    </row>
    <row r="305">
      <c r="C305" s="13" t="s">
        <v>626</v>
      </c>
      <c r="D305">
        <f t="shared" si="1"/>
        <v>0</v>
      </c>
    </row>
    <row r="306">
      <c r="C306" s="13" t="s">
        <v>541</v>
      </c>
      <c r="D306">
        <f t="shared" si="1"/>
        <v>0</v>
      </c>
    </row>
    <row r="307">
      <c r="C307" s="13" t="s">
        <v>154</v>
      </c>
      <c r="D307">
        <f t="shared" si="1"/>
        <v>0</v>
      </c>
    </row>
    <row r="308">
      <c r="C308" s="13" t="s">
        <v>134</v>
      </c>
      <c r="D308">
        <f t="shared" si="1"/>
        <v>0</v>
      </c>
    </row>
    <row r="309">
      <c r="C309" s="13" t="s">
        <v>444</v>
      </c>
      <c r="D309">
        <f t="shared" si="1"/>
        <v>0</v>
      </c>
    </row>
    <row r="310">
      <c r="C310" s="13" t="s">
        <v>322</v>
      </c>
      <c r="D310">
        <f t="shared" si="1"/>
        <v>0</v>
      </c>
    </row>
    <row r="311">
      <c r="C311" s="13" t="s">
        <v>555</v>
      </c>
      <c r="D311">
        <f t="shared" si="1"/>
        <v>0</v>
      </c>
    </row>
    <row r="312">
      <c r="C312" s="13" t="s">
        <v>122</v>
      </c>
      <c r="D312">
        <f t="shared" si="1"/>
        <v>0</v>
      </c>
    </row>
    <row r="313">
      <c r="C313" s="13" t="s">
        <v>562</v>
      </c>
      <c r="D313">
        <f t="shared" si="1"/>
        <v>0</v>
      </c>
    </row>
    <row r="314">
      <c r="C314" s="13" t="s">
        <v>66</v>
      </c>
      <c r="D314">
        <f t="shared" si="1"/>
        <v>0</v>
      </c>
    </row>
    <row r="315">
      <c r="C315" s="13" t="s">
        <v>539</v>
      </c>
      <c r="D315">
        <f t="shared" si="1"/>
        <v>0</v>
      </c>
    </row>
    <row r="316">
      <c r="C316" s="13" t="s">
        <v>385</v>
      </c>
      <c r="D316">
        <f t="shared" si="1"/>
        <v>0</v>
      </c>
    </row>
    <row r="317">
      <c r="C317" s="13" t="s">
        <v>305</v>
      </c>
      <c r="D317">
        <f t="shared" si="1"/>
        <v>0</v>
      </c>
    </row>
    <row r="318">
      <c r="C318" s="13" t="s">
        <v>523</v>
      </c>
      <c r="D318">
        <f t="shared" si="1"/>
        <v>0</v>
      </c>
    </row>
    <row r="319">
      <c r="C319" s="13" t="s">
        <v>317</v>
      </c>
      <c r="D319">
        <f t="shared" si="1"/>
        <v>0</v>
      </c>
    </row>
    <row r="320">
      <c r="C320" s="13" t="s">
        <v>660</v>
      </c>
      <c r="D320">
        <f t="shared" si="1"/>
        <v>0</v>
      </c>
    </row>
    <row r="321">
      <c r="C321" s="13" t="s">
        <v>391</v>
      </c>
      <c r="D321">
        <f t="shared" si="1"/>
        <v>0</v>
      </c>
    </row>
    <row r="322">
      <c r="C322" s="13" t="s">
        <v>132</v>
      </c>
      <c r="D322">
        <f t="shared" si="1"/>
        <v>0</v>
      </c>
    </row>
    <row r="323">
      <c r="C323" s="13" t="s">
        <v>22</v>
      </c>
      <c r="D323">
        <f t="shared" si="1"/>
        <v>0</v>
      </c>
    </row>
    <row r="324">
      <c r="C324" s="13" t="s">
        <v>631</v>
      </c>
      <c r="D324">
        <f t="shared" si="1"/>
        <v>0</v>
      </c>
    </row>
    <row r="325">
      <c r="C325" s="13" t="s">
        <v>467</v>
      </c>
      <c r="D325">
        <f t="shared" si="1"/>
        <v>0</v>
      </c>
    </row>
    <row r="326">
      <c r="C326" s="13" t="s">
        <v>614</v>
      </c>
      <c r="D326">
        <f t="shared" si="1"/>
        <v>0</v>
      </c>
    </row>
    <row r="327">
      <c r="C327" s="13" t="s">
        <v>582</v>
      </c>
      <c r="D327">
        <f t="shared" si="1"/>
        <v>0</v>
      </c>
    </row>
    <row r="328">
      <c r="C328" s="13" t="s">
        <v>221</v>
      </c>
      <c r="D328">
        <f t="shared" si="1"/>
        <v>0</v>
      </c>
    </row>
    <row r="329">
      <c r="C329" s="13" t="s">
        <v>502</v>
      </c>
      <c r="D329">
        <f t="shared" si="1"/>
        <v>0</v>
      </c>
    </row>
    <row r="330">
      <c r="C330" s="13" t="s">
        <v>395</v>
      </c>
      <c r="D330">
        <f t="shared" si="1"/>
        <v>0</v>
      </c>
    </row>
    <row r="331">
      <c r="C331" s="13" t="s">
        <v>535</v>
      </c>
      <c r="D331">
        <f t="shared" si="1"/>
        <v>0</v>
      </c>
    </row>
    <row r="332">
      <c r="C332" s="13" t="s">
        <v>409</v>
      </c>
      <c r="D332">
        <f t="shared" si="1"/>
        <v>0</v>
      </c>
    </row>
    <row r="333">
      <c r="C333" s="13" t="s">
        <v>307</v>
      </c>
      <c r="D333">
        <f t="shared" si="1"/>
        <v>0</v>
      </c>
    </row>
    <row r="334">
      <c r="C334" s="13" t="s">
        <v>511</v>
      </c>
      <c r="D334">
        <f t="shared" si="1"/>
        <v>0</v>
      </c>
    </row>
    <row r="335">
      <c r="C335" s="13" t="s">
        <v>544</v>
      </c>
      <c r="D335">
        <f t="shared" si="1"/>
        <v>0</v>
      </c>
    </row>
    <row r="336">
      <c r="C336" s="13" t="s">
        <v>366</v>
      </c>
      <c r="D336">
        <f t="shared" si="1"/>
        <v>0</v>
      </c>
    </row>
    <row r="337">
      <c r="C337" s="13" t="s">
        <v>27</v>
      </c>
      <c r="D337">
        <f t="shared" si="1"/>
        <v>0</v>
      </c>
    </row>
    <row r="338">
      <c r="C338" s="13" t="s">
        <v>208</v>
      </c>
      <c r="D338">
        <f t="shared" si="1"/>
        <v>0</v>
      </c>
    </row>
    <row r="339">
      <c r="C339" s="13" t="s">
        <v>35</v>
      </c>
      <c r="D339">
        <f t="shared" si="1"/>
        <v>0</v>
      </c>
    </row>
    <row r="340">
      <c r="C340" s="13" t="s">
        <v>504</v>
      </c>
      <c r="D340">
        <f t="shared" si="1"/>
        <v>0</v>
      </c>
    </row>
    <row r="341">
      <c r="C341" s="13" t="s">
        <v>518</v>
      </c>
      <c r="D341">
        <f t="shared" si="1"/>
        <v>0</v>
      </c>
    </row>
    <row r="342">
      <c r="C342" s="13" t="s">
        <v>679</v>
      </c>
      <c r="D342">
        <f t="shared" si="1"/>
        <v>0</v>
      </c>
    </row>
    <row r="343">
      <c r="C343" s="13" t="s">
        <v>673</v>
      </c>
      <c r="D343">
        <f t="shared" si="1"/>
        <v>0</v>
      </c>
    </row>
    <row r="344">
      <c r="C344" s="13" t="s">
        <v>121</v>
      </c>
      <c r="D344">
        <f t="shared" si="1"/>
        <v>0</v>
      </c>
    </row>
    <row r="345">
      <c r="C345" s="13" t="s">
        <v>424</v>
      </c>
      <c r="D345">
        <f t="shared" si="1"/>
        <v>0</v>
      </c>
    </row>
    <row r="346">
      <c r="C346" s="13" t="s">
        <v>527</v>
      </c>
      <c r="D346">
        <f t="shared" si="1"/>
        <v>0</v>
      </c>
    </row>
    <row r="347">
      <c r="C347" s="13" t="s">
        <v>237</v>
      </c>
      <c r="D347">
        <f t="shared" si="1"/>
        <v>0</v>
      </c>
    </row>
    <row r="348">
      <c r="C348" s="13" t="s">
        <v>528</v>
      </c>
      <c r="D348">
        <f t="shared" si="1"/>
        <v>0</v>
      </c>
    </row>
    <row r="349">
      <c r="C349" s="13" t="s">
        <v>144</v>
      </c>
      <c r="D349">
        <f t="shared" si="1"/>
        <v>0</v>
      </c>
    </row>
    <row r="350">
      <c r="C350" s="13" t="s">
        <v>116</v>
      </c>
      <c r="D350">
        <f t="shared" si="1"/>
        <v>0</v>
      </c>
    </row>
    <row r="351">
      <c r="C351" s="13" t="s">
        <v>80</v>
      </c>
      <c r="D351">
        <f t="shared" si="1"/>
        <v>0</v>
      </c>
    </row>
    <row r="352">
      <c r="C352" s="13" t="s">
        <v>127</v>
      </c>
      <c r="D352">
        <f t="shared" si="1"/>
        <v>0</v>
      </c>
    </row>
    <row r="353">
      <c r="C353" s="13" t="s">
        <v>458</v>
      </c>
      <c r="D353">
        <f t="shared" si="1"/>
        <v>0</v>
      </c>
    </row>
    <row r="354">
      <c r="C354" s="13" t="s">
        <v>664</v>
      </c>
      <c r="D354">
        <f t="shared" si="1"/>
        <v>0</v>
      </c>
    </row>
    <row r="355">
      <c r="C355" s="13" t="s">
        <v>438</v>
      </c>
      <c r="D355">
        <f t="shared" si="1"/>
        <v>0</v>
      </c>
    </row>
    <row r="356">
      <c r="C356" s="13" t="s">
        <v>583</v>
      </c>
      <c r="D356">
        <f t="shared" si="1"/>
        <v>0</v>
      </c>
    </row>
    <row r="357">
      <c r="C357" s="13" t="s">
        <v>160</v>
      </c>
      <c r="D357">
        <f t="shared" si="1"/>
        <v>0</v>
      </c>
    </row>
    <row r="358">
      <c r="C358" s="13" t="s">
        <v>553</v>
      </c>
      <c r="D358">
        <f t="shared" si="1"/>
        <v>0</v>
      </c>
    </row>
    <row r="359">
      <c r="C359" s="13" t="s">
        <v>683</v>
      </c>
      <c r="D359">
        <f t="shared" si="1"/>
        <v>0</v>
      </c>
    </row>
    <row r="360">
      <c r="C360" s="13" t="s">
        <v>361</v>
      </c>
      <c r="D360">
        <f t="shared" si="1"/>
        <v>0</v>
      </c>
    </row>
    <row r="361">
      <c r="C361" s="13" t="s">
        <v>330</v>
      </c>
      <c r="D361">
        <f t="shared" si="1"/>
        <v>0</v>
      </c>
    </row>
    <row r="362">
      <c r="C362" s="13" t="s">
        <v>140</v>
      </c>
      <c r="D362">
        <f t="shared" si="1"/>
        <v>0</v>
      </c>
    </row>
    <row r="363">
      <c r="C363" s="13" t="s">
        <v>315</v>
      </c>
      <c r="D363">
        <f t="shared" si="1"/>
        <v>0</v>
      </c>
    </row>
    <row r="364">
      <c r="C364" s="13" t="s">
        <v>99</v>
      </c>
      <c r="D364">
        <f t="shared" si="1"/>
        <v>0</v>
      </c>
    </row>
    <row r="365">
      <c r="C365" s="13" t="s">
        <v>500</v>
      </c>
      <c r="D365">
        <f t="shared" si="1"/>
        <v>0</v>
      </c>
    </row>
    <row r="366">
      <c r="C366" s="13" t="s">
        <v>556</v>
      </c>
      <c r="D366">
        <f t="shared" si="1"/>
        <v>0</v>
      </c>
    </row>
    <row r="367">
      <c r="C367" s="13" t="s">
        <v>643</v>
      </c>
      <c r="D367">
        <f t="shared" si="1"/>
        <v>0</v>
      </c>
    </row>
    <row r="368">
      <c r="C368" s="13" t="s">
        <v>488</v>
      </c>
      <c r="D368">
        <f t="shared" si="1"/>
        <v>0</v>
      </c>
    </row>
    <row r="369">
      <c r="C369" s="13" t="s">
        <v>57</v>
      </c>
      <c r="D369">
        <f t="shared" si="1"/>
        <v>0</v>
      </c>
    </row>
    <row r="370">
      <c r="C370" s="13" t="s">
        <v>155</v>
      </c>
      <c r="D370">
        <f t="shared" si="1"/>
        <v>0</v>
      </c>
    </row>
    <row r="371">
      <c r="C371" s="13" t="s">
        <v>5</v>
      </c>
      <c r="D371">
        <f t="shared" si="1"/>
        <v>0</v>
      </c>
    </row>
    <row r="372">
      <c r="C372" s="13" t="s">
        <v>197</v>
      </c>
      <c r="D372">
        <f t="shared" si="1"/>
        <v>0</v>
      </c>
    </row>
    <row r="373">
      <c r="C373" s="13" t="s">
        <v>29</v>
      </c>
      <c r="D373">
        <f t="shared" si="1"/>
        <v>0</v>
      </c>
    </row>
    <row r="374">
      <c r="C374" s="13" t="s">
        <v>564</v>
      </c>
      <c r="D374">
        <f t="shared" si="1"/>
        <v>0</v>
      </c>
    </row>
    <row r="375">
      <c r="C375" s="13" t="s">
        <v>69</v>
      </c>
      <c r="D375">
        <f t="shared" si="1"/>
        <v>0</v>
      </c>
    </row>
    <row r="376">
      <c r="C376" s="13" t="s">
        <v>594</v>
      </c>
      <c r="D376">
        <f t="shared" si="1"/>
        <v>0</v>
      </c>
    </row>
    <row r="377">
      <c r="C377" s="13" t="s">
        <v>687</v>
      </c>
      <c r="D377">
        <f t="shared" si="1"/>
        <v>0</v>
      </c>
    </row>
    <row r="378">
      <c r="C378" s="13" t="s">
        <v>652</v>
      </c>
      <c r="D378">
        <f t="shared" si="1"/>
        <v>0</v>
      </c>
    </row>
    <row r="379">
      <c r="C379" s="13" t="s">
        <v>434</v>
      </c>
      <c r="D379">
        <f t="shared" si="1"/>
        <v>0</v>
      </c>
    </row>
    <row r="380">
      <c r="C380" s="13" t="s">
        <v>534</v>
      </c>
      <c r="D380">
        <f t="shared" si="1"/>
        <v>0</v>
      </c>
    </row>
    <row r="381">
      <c r="C381" s="13" t="s">
        <v>477</v>
      </c>
      <c r="D381">
        <f t="shared" si="1"/>
        <v>0</v>
      </c>
    </row>
    <row r="382">
      <c r="C382" s="13" t="s">
        <v>365</v>
      </c>
      <c r="D382">
        <f t="shared" si="1"/>
        <v>0</v>
      </c>
    </row>
    <row r="383">
      <c r="C383" s="13" t="s">
        <v>491</v>
      </c>
      <c r="D383">
        <f t="shared" si="1"/>
        <v>0</v>
      </c>
    </row>
    <row r="384">
      <c r="C384" s="13" t="s">
        <v>515</v>
      </c>
      <c r="D384">
        <f t="shared" si="1"/>
        <v>0</v>
      </c>
    </row>
    <row r="385">
      <c r="C385" s="13" t="s">
        <v>591</v>
      </c>
      <c r="D385">
        <f t="shared" si="1"/>
        <v>0</v>
      </c>
    </row>
    <row r="386">
      <c r="C386" s="13" t="s">
        <v>182</v>
      </c>
      <c r="D386">
        <f t="shared" si="1"/>
        <v>0</v>
      </c>
    </row>
    <row r="387">
      <c r="C387" s="13" t="s">
        <v>464</v>
      </c>
      <c r="D387">
        <f t="shared" si="1"/>
        <v>0</v>
      </c>
    </row>
    <row r="388">
      <c r="C388" s="13" t="s">
        <v>128</v>
      </c>
      <c r="D388">
        <f t="shared" si="1"/>
        <v>0</v>
      </c>
    </row>
    <row r="389">
      <c r="C389" s="13" t="s">
        <v>283</v>
      </c>
      <c r="D389">
        <f t="shared" si="1"/>
        <v>0</v>
      </c>
    </row>
    <row r="390">
      <c r="C390" s="13" t="s">
        <v>510</v>
      </c>
      <c r="D390">
        <f t="shared" si="1"/>
        <v>0</v>
      </c>
    </row>
    <row r="391">
      <c r="C391" s="13" t="s">
        <v>135</v>
      </c>
      <c r="D391">
        <f t="shared" si="1"/>
        <v>0</v>
      </c>
    </row>
    <row r="392">
      <c r="C392" s="13" t="s">
        <v>142</v>
      </c>
      <c r="D392">
        <f t="shared" si="1"/>
        <v>0</v>
      </c>
    </row>
    <row r="393">
      <c r="C393" s="13" t="s">
        <v>492</v>
      </c>
      <c r="D393">
        <f t="shared" si="1"/>
        <v>0</v>
      </c>
    </row>
    <row r="394">
      <c r="C394" s="13" t="s">
        <v>111</v>
      </c>
      <c r="D394">
        <f t="shared" si="1"/>
        <v>0</v>
      </c>
    </row>
    <row r="395">
      <c r="C395" s="13" t="s">
        <v>89</v>
      </c>
      <c r="D395">
        <f t="shared" si="1"/>
        <v>0</v>
      </c>
    </row>
    <row r="396">
      <c r="C396" s="13" t="s">
        <v>212</v>
      </c>
      <c r="D396">
        <f t="shared" si="1"/>
        <v>0</v>
      </c>
    </row>
    <row r="397">
      <c r="C397" s="13" t="s">
        <v>606</v>
      </c>
      <c r="D397">
        <f t="shared" si="1"/>
        <v>0</v>
      </c>
    </row>
    <row r="398">
      <c r="C398" s="13" t="s">
        <v>76</v>
      </c>
      <c r="D398">
        <f t="shared" si="1"/>
        <v>0</v>
      </c>
    </row>
    <row r="399">
      <c r="C399" s="13" t="s">
        <v>341</v>
      </c>
      <c r="D399">
        <f t="shared" si="1"/>
        <v>0</v>
      </c>
    </row>
    <row r="400">
      <c r="C400" s="13" t="s">
        <v>332</v>
      </c>
      <c r="D400">
        <f t="shared" si="1"/>
        <v>0</v>
      </c>
    </row>
    <row r="401">
      <c r="C401" s="13" t="s">
        <v>196</v>
      </c>
      <c r="D401">
        <f t="shared" si="1"/>
        <v>0</v>
      </c>
    </row>
    <row r="402">
      <c r="C402" s="13" t="s">
        <v>228</v>
      </c>
      <c r="D402">
        <f t="shared" si="1"/>
        <v>0</v>
      </c>
    </row>
    <row r="403">
      <c r="C403" s="13" t="s">
        <v>655</v>
      </c>
      <c r="D403">
        <f t="shared" si="1"/>
        <v>0</v>
      </c>
    </row>
    <row r="404">
      <c r="C404" s="13" t="s">
        <v>547</v>
      </c>
      <c r="D404">
        <f t="shared" si="1"/>
        <v>0</v>
      </c>
    </row>
    <row r="405">
      <c r="C405" s="13" t="s">
        <v>572</v>
      </c>
      <c r="D405">
        <f t="shared" si="1"/>
        <v>0</v>
      </c>
    </row>
    <row r="406">
      <c r="C406" s="13" t="s">
        <v>650</v>
      </c>
      <c r="D406">
        <f t="shared" si="1"/>
        <v>0</v>
      </c>
    </row>
    <row r="407">
      <c r="C407" s="13" t="s">
        <v>233</v>
      </c>
      <c r="D407">
        <f t="shared" si="1"/>
        <v>0</v>
      </c>
    </row>
    <row r="408">
      <c r="C408" s="13" t="s">
        <v>180</v>
      </c>
      <c r="D408">
        <f t="shared" si="1"/>
        <v>0</v>
      </c>
    </row>
    <row r="409">
      <c r="C409" s="13" t="s">
        <v>647</v>
      </c>
      <c r="D409">
        <f t="shared" si="1"/>
        <v>0</v>
      </c>
    </row>
    <row r="410">
      <c r="C410" s="13" t="s">
        <v>168</v>
      </c>
      <c r="D410">
        <f t="shared" si="1"/>
        <v>0</v>
      </c>
    </row>
    <row r="411">
      <c r="C411" s="13" t="s">
        <v>558</v>
      </c>
      <c r="D411">
        <f t="shared" si="1"/>
        <v>0</v>
      </c>
    </row>
    <row r="412">
      <c r="C412" s="13" t="s">
        <v>33</v>
      </c>
      <c r="D412">
        <f t="shared" si="1"/>
        <v>0</v>
      </c>
    </row>
    <row r="413">
      <c r="C413" s="13" t="s">
        <v>512</v>
      </c>
      <c r="D413">
        <f t="shared" si="1"/>
        <v>0</v>
      </c>
    </row>
    <row r="414">
      <c r="C414" s="13" t="s">
        <v>113</v>
      </c>
      <c r="D414">
        <f t="shared" si="1"/>
        <v>0</v>
      </c>
    </row>
    <row r="415">
      <c r="C415" s="13" t="s">
        <v>549</v>
      </c>
      <c r="D415">
        <f t="shared" si="1"/>
        <v>0</v>
      </c>
    </row>
    <row r="416">
      <c r="C416" s="13" t="s">
        <v>167</v>
      </c>
      <c r="D416">
        <f t="shared" si="1"/>
        <v>0</v>
      </c>
    </row>
    <row r="417">
      <c r="C417" s="13" t="s">
        <v>36</v>
      </c>
      <c r="D417">
        <f t="shared" si="1"/>
        <v>0</v>
      </c>
    </row>
    <row r="418">
      <c r="C418" s="13" t="s">
        <v>483</v>
      </c>
      <c r="D418">
        <f t="shared" si="1"/>
        <v>0</v>
      </c>
    </row>
    <row r="419">
      <c r="C419" s="13" t="s">
        <v>48</v>
      </c>
      <c r="D419">
        <f t="shared" si="1"/>
        <v>0</v>
      </c>
    </row>
    <row r="420">
      <c r="C420" s="13" t="s">
        <v>291</v>
      </c>
      <c r="D420">
        <f t="shared" si="1"/>
        <v>0</v>
      </c>
    </row>
    <row r="421">
      <c r="C421" s="13" t="s">
        <v>435</v>
      </c>
      <c r="D421">
        <f t="shared" si="1"/>
        <v>0</v>
      </c>
    </row>
    <row r="422">
      <c r="C422" s="13" t="s">
        <v>641</v>
      </c>
      <c r="D422">
        <f t="shared" si="1"/>
        <v>0</v>
      </c>
    </row>
    <row r="423">
      <c r="C423" s="13" t="s">
        <v>412</v>
      </c>
      <c r="D423">
        <f t="shared" si="1"/>
        <v>0</v>
      </c>
    </row>
    <row r="424">
      <c r="C424" s="13" t="s">
        <v>478</v>
      </c>
      <c r="D424">
        <f t="shared" si="1"/>
        <v>0</v>
      </c>
    </row>
    <row r="425">
      <c r="C425" s="13" t="s">
        <v>202</v>
      </c>
      <c r="D425">
        <f t="shared" si="1"/>
        <v>0</v>
      </c>
    </row>
    <row r="426">
      <c r="C426" s="13" t="s">
        <v>684</v>
      </c>
      <c r="D426">
        <f t="shared" si="1"/>
        <v>0</v>
      </c>
    </row>
    <row r="427">
      <c r="C427" s="13" t="s">
        <v>187</v>
      </c>
      <c r="D427">
        <f t="shared" si="1"/>
        <v>0</v>
      </c>
    </row>
    <row r="428">
      <c r="C428" s="13" t="s">
        <v>211</v>
      </c>
      <c r="D428">
        <f t="shared" si="1"/>
        <v>0</v>
      </c>
    </row>
    <row r="429">
      <c r="C429" s="13" t="s">
        <v>163</v>
      </c>
      <c r="D429">
        <f t="shared" si="1"/>
        <v>0</v>
      </c>
    </row>
    <row r="430">
      <c r="C430" s="13" t="s">
        <v>669</v>
      </c>
      <c r="D430">
        <f t="shared" si="1"/>
        <v>0</v>
      </c>
    </row>
    <row r="431">
      <c r="C431" s="13" t="s">
        <v>633</v>
      </c>
      <c r="D431">
        <f t="shared" si="1"/>
        <v>0</v>
      </c>
    </row>
    <row r="432">
      <c r="C432" s="13" t="s">
        <v>145</v>
      </c>
      <c r="D432">
        <f t="shared" si="1"/>
        <v>0</v>
      </c>
    </row>
    <row r="433">
      <c r="C433" s="13" t="s">
        <v>581</v>
      </c>
      <c r="D433">
        <f t="shared" si="1"/>
        <v>0</v>
      </c>
    </row>
    <row r="434">
      <c r="C434" s="13" t="s">
        <v>526</v>
      </c>
      <c r="D434">
        <f t="shared" si="1"/>
        <v>0</v>
      </c>
    </row>
    <row r="435">
      <c r="C435" s="13" t="s">
        <v>138</v>
      </c>
      <c r="D435">
        <f t="shared" si="1"/>
        <v>0</v>
      </c>
    </row>
    <row r="436">
      <c r="C436" s="13" t="s">
        <v>321</v>
      </c>
      <c r="D436">
        <f t="shared" si="1"/>
        <v>0</v>
      </c>
    </row>
    <row r="437">
      <c r="C437" s="13" t="s">
        <v>414</v>
      </c>
      <c r="D437">
        <f t="shared" si="1"/>
        <v>0</v>
      </c>
    </row>
    <row r="438">
      <c r="C438" s="13" t="s">
        <v>413</v>
      </c>
      <c r="D438">
        <f t="shared" si="1"/>
        <v>0</v>
      </c>
    </row>
    <row r="439">
      <c r="C439" s="13" t="s">
        <v>513</v>
      </c>
      <c r="D439">
        <f t="shared" si="1"/>
        <v>0</v>
      </c>
    </row>
    <row r="440">
      <c r="C440" s="13" t="s">
        <v>439</v>
      </c>
      <c r="D440">
        <f t="shared" si="1"/>
        <v>0</v>
      </c>
    </row>
    <row r="441">
      <c r="C441" s="13" t="s">
        <v>596</v>
      </c>
      <c r="D441">
        <f t="shared" si="1"/>
        <v>0</v>
      </c>
    </row>
    <row r="442">
      <c r="C442" s="13" t="s">
        <v>192</v>
      </c>
      <c r="D442">
        <f t="shared" si="1"/>
        <v>0</v>
      </c>
    </row>
    <row r="443">
      <c r="C443" s="13" t="s">
        <v>254</v>
      </c>
      <c r="D443">
        <f t="shared" si="1"/>
        <v>0</v>
      </c>
    </row>
    <row r="444">
      <c r="C444" s="13" t="s">
        <v>24</v>
      </c>
      <c r="D444">
        <f t="shared" si="1"/>
        <v>0</v>
      </c>
    </row>
    <row r="445">
      <c r="C445" s="13" t="s">
        <v>446</v>
      </c>
      <c r="D445">
        <f t="shared" si="1"/>
        <v>0</v>
      </c>
    </row>
    <row r="446">
      <c r="C446" s="13" t="s">
        <v>176</v>
      </c>
      <c r="D446">
        <f t="shared" si="1"/>
        <v>0</v>
      </c>
    </row>
    <row r="447">
      <c r="C447" s="13" t="s">
        <v>579</v>
      </c>
      <c r="D447">
        <f t="shared" si="1"/>
        <v>0</v>
      </c>
    </row>
    <row r="448">
      <c r="C448" s="13" t="s">
        <v>157</v>
      </c>
      <c r="D448">
        <f t="shared" si="1"/>
        <v>0</v>
      </c>
    </row>
    <row r="449">
      <c r="C449" s="13" t="s">
        <v>675</v>
      </c>
      <c r="D449">
        <f t="shared" si="1"/>
        <v>0</v>
      </c>
    </row>
    <row r="450">
      <c r="C450" s="13" t="s">
        <v>248</v>
      </c>
      <c r="D450">
        <f t="shared" si="1"/>
        <v>0</v>
      </c>
    </row>
    <row r="451">
      <c r="C451" s="13" t="s">
        <v>505</v>
      </c>
      <c r="D451">
        <f t="shared" si="1"/>
        <v>0</v>
      </c>
    </row>
    <row r="452">
      <c r="C452" s="13" t="s">
        <v>387</v>
      </c>
      <c r="D452">
        <f t="shared" si="1"/>
        <v>0</v>
      </c>
    </row>
    <row r="453">
      <c r="C453" s="13" t="s">
        <v>177</v>
      </c>
      <c r="D453">
        <f t="shared" si="1"/>
        <v>0</v>
      </c>
    </row>
    <row r="454">
      <c r="C454" s="13" t="s">
        <v>394</v>
      </c>
      <c r="D454">
        <f t="shared" si="1"/>
        <v>0</v>
      </c>
    </row>
    <row r="455">
      <c r="C455" s="13" t="s">
        <v>114</v>
      </c>
      <c r="D455">
        <f t="shared" si="1"/>
        <v>0</v>
      </c>
    </row>
    <row r="456">
      <c r="C456" s="13" t="s">
        <v>470</v>
      </c>
      <c r="D456">
        <f t="shared" si="1"/>
        <v>0</v>
      </c>
    </row>
    <row r="457">
      <c r="C457" s="13" t="s">
        <v>257</v>
      </c>
      <c r="D457">
        <f t="shared" si="1"/>
        <v>0</v>
      </c>
    </row>
    <row r="458">
      <c r="C458" s="13" t="s">
        <v>480</v>
      </c>
      <c r="D458">
        <f t="shared" si="1"/>
        <v>0</v>
      </c>
    </row>
    <row r="459">
      <c r="C459" s="13" t="s">
        <v>115</v>
      </c>
      <c r="D459">
        <f t="shared" si="1"/>
        <v>0</v>
      </c>
    </row>
    <row r="460">
      <c r="C460" s="13" t="s">
        <v>405</v>
      </c>
      <c r="D460">
        <f t="shared" si="1"/>
        <v>0</v>
      </c>
    </row>
    <row r="461">
      <c r="C461" s="13" t="s">
        <v>85</v>
      </c>
      <c r="D461">
        <f t="shared" si="1"/>
        <v>0</v>
      </c>
    </row>
    <row r="462">
      <c r="C462" s="13" t="s">
        <v>545</v>
      </c>
      <c r="D462">
        <f t="shared" si="1"/>
        <v>0</v>
      </c>
    </row>
    <row r="463">
      <c r="C463" s="13" t="s">
        <v>605</v>
      </c>
      <c r="D463">
        <f t="shared" si="1"/>
        <v>0</v>
      </c>
    </row>
    <row r="464">
      <c r="C464" s="13" t="s">
        <v>14</v>
      </c>
      <c r="D464">
        <f t="shared" si="1"/>
        <v>0</v>
      </c>
    </row>
    <row r="465">
      <c r="C465" s="13" t="s">
        <v>576</v>
      </c>
      <c r="D465">
        <f t="shared" si="1"/>
        <v>0</v>
      </c>
    </row>
    <row r="466">
      <c r="C466" s="13" t="s">
        <v>563</v>
      </c>
      <c r="D466">
        <f t="shared" si="1"/>
        <v>0</v>
      </c>
    </row>
    <row r="467">
      <c r="C467" s="13" t="s">
        <v>493</v>
      </c>
      <c r="D467">
        <f t="shared" si="1"/>
        <v>0</v>
      </c>
    </row>
    <row r="468">
      <c r="C468" s="13" t="s">
        <v>519</v>
      </c>
      <c r="D468">
        <f t="shared" si="1"/>
        <v>0</v>
      </c>
    </row>
    <row r="469">
      <c r="C469" s="13" t="s">
        <v>289</v>
      </c>
      <c r="D469">
        <f t="shared" si="1"/>
        <v>0</v>
      </c>
    </row>
    <row r="470">
      <c r="C470" s="13" t="s">
        <v>313</v>
      </c>
      <c r="D470">
        <f t="shared" si="1"/>
        <v>0</v>
      </c>
    </row>
    <row r="471">
      <c r="C471" s="13" t="s">
        <v>156</v>
      </c>
      <c r="D471">
        <f t="shared" si="1"/>
        <v>0</v>
      </c>
    </row>
    <row r="472">
      <c r="C472" s="13" t="s">
        <v>42</v>
      </c>
      <c r="D472">
        <f t="shared" si="1"/>
        <v>0</v>
      </c>
    </row>
    <row r="473">
      <c r="C473" s="13" t="s">
        <v>193</v>
      </c>
      <c r="D473">
        <f t="shared" si="1"/>
        <v>0</v>
      </c>
    </row>
    <row r="474">
      <c r="C474" s="13" t="s">
        <v>231</v>
      </c>
      <c r="D474">
        <f t="shared" si="1"/>
        <v>0</v>
      </c>
    </row>
    <row r="475">
      <c r="C475" s="13" t="s">
        <v>130</v>
      </c>
      <c r="D475">
        <f t="shared" si="1"/>
        <v>0</v>
      </c>
    </row>
    <row r="476">
      <c r="C476" s="13" t="s">
        <v>651</v>
      </c>
      <c r="D476">
        <f t="shared" si="1"/>
        <v>0</v>
      </c>
    </row>
    <row r="477">
      <c r="C477" s="13" t="s">
        <v>370</v>
      </c>
      <c r="D477">
        <f t="shared" si="1"/>
        <v>0</v>
      </c>
    </row>
    <row r="478">
      <c r="C478" s="13" t="s">
        <v>92</v>
      </c>
      <c r="D478">
        <f t="shared" si="1"/>
        <v>0</v>
      </c>
    </row>
    <row r="479">
      <c r="C479" s="13" t="s">
        <v>252</v>
      </c>
      <c r="D479">
        <f t="shared" si="1"/>
        <v>0</v>
      </c>
    </row>
    <row r="480">
      <c r="C480" s="13" t="s">
        <v>484</v>
      </c>
      <c r="D480">
        <f t="shared" si="1"/>
        <v>0</v>
      </c>
    </row>
    <row r="481">
      <c r="C481" s="13" t="s">
        <v>86</v>
      </c>
      <c r="D481">
        <f t="shared" si="1"/>
        <v>0</v>
      </c>
    </row>
    <row r="482">
      <c r="C482" s="13" t="s">
        <v>81</v>
      </c>
      <c r="D482">
        <f t="shared" si="1"/>
        <v>0</v>
      </c>
    </row>
    <row r="483">
      <c r="C483" s="13" t="s">
        <v>611</v>
      </c>
      <c r="D483">
        <f t="shared" si="1"/>
        <v>0</v>
      </c>
    </row>
    <row r="484">
      <c r="C484" s="13" t="s">
        <v>530</v>
      </c>
      <c r="D484">
        <f t="shared" si="1"/>
        <v>0</v>
      </c>
    </row>
    <row r="485">
      <c r="C485" s="13" t="s">
        <v>108</v>
      </c>
      <c r="D485">
        <f t="shared" si="1"/>
        <v>0</v>
      </c>
    </row>
    <row r="486">
      <c r="C486" s="13" t="s">
        <v>319</v>
      </c>
      <c r="D486">
        <f t="shared" si="1"/>
        <v>0</v>
      </c>
    </row>
    <row r="487">
      <c r="C487" s="13" t="s">
        <v>275</v>
      </c>
      <c r="D487">
        <f t="shared" si="1"/>
        <v>0</v>
      </c>
    </row>
    <row r="488">
      <c r="C488" s="13" t="s">
        <v>296</v>
      </c>
      <c r="D488">
        <f t="shared" si="1"/>
        <v>0</v>
      </c>
    </row>
    <row r="489">
      <c r="C489" s="13" t="s">
        <v>620</v>
      </c>
      <c r="D489">
        <f t="shared" si="1"/>
        <v>0</v>
      </c>
    </row>
    <row r="490">
      <c r="C490" s="13" t="s">
        <v>676</v>
      </c>
      <c r="D490">
        <f t="shared" si="1"/>
        <v>0</v>
      </c>
    </row>
    <row r="491">
      <c r="C491" s="13" t="s">
        <v>461</v>
      </c>
      <c r="D491">
        <f t="shared" si="1"/>
        <v>0</v>
      </c>
    </row>
    <row r="492">
      <c r="C492" s="13" t="s">
        <v>267</v>
      </c>
      <c r="D492">
        <f t="shared" si="1"/>
        <v>0</v>
      </c>
    </row>
    <row r="493">
      <c r="C493" s="13" t="s">
        <v>617</v>
      </c>
      <c r="D493">
        <f t="shared" si="1"/>
        <v>0</v>
      </c>
    </row>
    <row r="494">
      <c r="C494" s="13" t="s">
        <v>263</v>
      </c>
      <c r="D494">
        <f t="shared" si="1"/>
        <v>0</v>
      </c>
    </row>
    <row r="495">
      <c r="C495" s="13" t="s">
        <v>304</v>
      </c>
      <c r="D495">
        <f t="shared" si="1"/>
        <v>0</v>
      </c>
    </row>
    <row r="496">
      <c r="C496" s="13" t="s">
        <v>316</v>
      </c>
      <c r="D496">
        <f t="shared" si="1"/>
        <v>0</v>
      </c>
    </row>
    <row r="497">
      <c r="C497" s="13" t="s">
        <v>194</v>
      </c>
      <c r="D497">
        <f t="shared" si="1"/>
        <v>0</v>
      </c>
    </row>
    <row r="498">
      <c r="C498" s="13" t="s">
        <v>537</v>
      </c>
      <c r="D498">
        <f t="shared" si="1"/>
        <v>0</v>
      </c>
    </row>
    <row r="499">
      <c r="C499" s="13" t="s">
        <v>104</v>
      </c>
      <c r="D499">
        <f t="shared" si="1"/>
        <v>0</v>
      </c>
    </row>
    <row r="500">
      <c r="C500" s="13" t="s">
        <v>18</v>
      </c>
      <c r="D500">
        <f t="shared" si="1"/>
        <v>0</v>
      </c>
    </row>
    <row r="501">
      <c r="C501" s="13" t="s">
        <v>668</v>
      </c>
      <c r="D501">
        <f t="shared" si="1"/>
        <v>0</v>
      </c>
    </row>
    <row r="502">
      <c r="C502" s="13" t="s">
        <v>656</v>
      </c>
      <c r="D502">
        <f t="shared" si="1"/>
        <v>0</v>
      </c>
    </row>
    <row r="503">
      <c r="C503" s="13" t="s">
        <v>389</v>
      </c>
      <c r="D503">
        <f t="shared" si="1"/>
        <v>0</v>
      </c>
    </row>
    <row r="504">
      <c r="C504" s="13" t="s">
        <v>460</v>
      </c>
      <c r="D504">
        <f t="shared" si="1"/>
        <v>0</v>
      </c>
    </row>
    <row r="505">
      <c r="C505" s="13" t="s">
        <v>482</v>
      </c>
      <c r="D505">
        <f t="shared" si="1"/>
        <v>0</v>
      </c>
    </row>
    <row r="506">
      <c r="C506" s="13" t="s">
        <v>362</v>
      </c>
      <c r="D506">
        <f t="shared" si="1"/>
        <v>0</v>
      </c>
    </row>
    <row r="507">
      <c r="C507" s="13" t="s">
        <v>522</v>
      </c>
      <c r="D507">
        <f t="shared" si="1"/>
        <v>0</v>
      </c>
    </row>
    <row r="508">
      <c r="C508" s="13" t="s">
        <v>100</v>
      </c>
      <c r="D508">
        <f t="shared" si="1"/>
        <v>0</v>
      </c>
    </row>
    <row r="509">
      <c r="C509" s="13" t="s">
        <v>246</v>
      </c>
      <c r="D509">
        <f t="shared" si="1"/>
        <v>0</v>
      </c>
    </row>
    <row r="510">
      <c r="C510" s="13" t="s">
        <v>55</v>
      </c>
      <c r="D510">
        <f t="shared" si="1"/>
        <v>0</v>
      </c>
    </row>
    <row r="511">
      <c r="C511" s="13" t="s">
        <v>495</v>
      </c>
      <c r="D511">
        <f t="shared" si="1"/>
        <v>0</v>
      </c>
    </row>
    <row r="512">
      <c r="C512" s="13" t="s">
        <v>220</v>
      </c>
      <c r="D512">
        <f t="shared" si="1"/>
        <v>0</v>
      </c>
    </row>
    <row r="513">
      <c r="C513" s="13" t="s">
        <v>133</v>
      </c>
      <c r="D513">
        <f t="shared" si="1"/>
        <v>0</v>
      </c>
    </row>
    <row r="514">
      <c r="C514" s="13" t="s">
        <v>548</v>
      </c>
      <c r="D514">
        <f t="shared" si="1"/>
        <v>0</v>
      </c>
    </row>
    <row r="515">
      <c r="C515" s="13" t="s">
        <v>397</v>
      </c>
      <c r="D515">
        <f t="shared" si="1"/>
        <v>0</v>
      </c>
    </row>
    <row r="516">
      <c r="C516" s="13" t="s">
        <v>567</v>
      </c>
      <c r="D516">
        <f t="shared" si="1"/>
        <v>0</v>
      </c>
    </row>
    <row r="517">
      <c r="C517" s="13" t="s">
        <v>677</v>
      </c>
      <c r="D517">
        <f t="shared" si="1"/>
        <v>0</v>
      </c>
    </row>
    <row r="518">
      <c r="C518" s="13" t="s">
        <v>278</v>
      </c>
      <c r="D518">
        <f t="shared" si="1"/>
        <v>0</v>
      </c>
    </row>
    <row r="519">
      <c r="C519" s="13" t="s">
        <v>52</v>
      </c>
      <c r="D519">
        <f t="shared" si="1"/>
        <v>0</v>
      </c>
    </row>
    <row r="520">
      <c r="C520" s="13" t="s">
        <v>672</v>
      </c>
      <c r="D520">
        <f t="shared" si="1"/>
        <v>0</v>
      </c>
    </row>
    <row r="521">
      <c r="C521" s="13" t="s">
        <v>486</v>
      </c>
      <c r="D521">
        <f t="shared" si="1"/>
        <v>0</v>
      </c>
    </row>
    <row r="522">
      <c r="C522" s="13" t="s">
        <v>139</v>
      </c>
      <c r="D522">
        <f t="shared" si="1"/>
        <v>0</v>
      </c>
    </row>
    <row r="523">
      <c r="C523" s="13" t="s">
        <v>587</v>
      </c>
      <c r="D523">
        <f t="shared" si="1"/>
        <v>0</v>
      </c>
    </row>
    <row r="524">
      <c r="C524" s="13" t="s">
        <v>284</v>
      </c>
      <c r="D524">
        <f t="shared" si="1"/>
        <v>0</v>
      </c>
    </row>
    <row r="525">
      <c r="C525" s="13" t="s">
        <v>383</v>
      </c>
      <c r="D525">
        <f t="shared" si="1"/>
        <v>0</v>
      </c>
    </row>
    <row r="526">
      <c r="C526" s="13" t="s">
        <v>658</v>
      </c>
      <c r="D526">
        <f t="shared" si="1"/>
        <v>0</v>
      </c>
    </row>
    <row r="527">
      <c r="C527" s="13" t="s">
        <v>393</v>
      </c>
      <c r="D527">
        <f t="shared" si="1"/>
        <v>0</v>
      </c>
    </row>
    <row r="528">
      <c r="C528" s="13" t="s">
        <v>339</v>
      </c>
      <c r="D528">
        <f t="shared" si="1"/>
        <v>0</v>
      </c>
    </row>
    <row r="529">
      <c r="C529" s="13" t="s">
        <v>634</v>
      </c>
      <c r="D529">
        <f t="shared" si="1"/>
        <v>0</v>
      </c>
    </row>
    <row r="530">
      <c r="C530" s="13" t="s">
        <v>308</v>
      </c>
      <c r="D530">
        <f t="shared" si="1"/>
        <v>0</v>
      </c>
    </row>
    <row r="531">
      <c r="C531" s="13" t="s">
        <v>261</v>
      </c>
      <c r="D531">
        <f t="shared" si="1"/>
        <v>0</v>
      </c>
    </row>
    <row r="532">
      <c r="C532" s="13" t="s">
        <v>425</v>
      </c>
      <c r="D532">
        <f t="shared" si="1"/>
        <v>0</v>
      </c>
    </row>
    <row r="533">
      <c r="C533" s="13" t="s">
        <v>580</v>
      </c>
      <c r="D533">
        <f t="shared" si="1"/>
        <v>0</v>
      </c>
    </row>
    <row r="534">
      <c r="C534" s="13" t="s">
        <v>101</v>
      </c>
      <c r="D534">
        <f t="shared" si="1"/>
        <v>0</v>
      </c>
    </row>
    <row r="535">
      <c r="C535" s="13" t="s">
        <v>190</v>
      </c>
      <c r="D535">
        <f t="shared" si="1"/>
        <v>0</v>
      </c>
    </row>
    <row r="536">
      <c r="C536" s="13" t="s">
        <v>452</v>
      </c>
      <c r="D536">
        <f t="shared" si="1"/>
        <v>0</v>
      </c>
    </row>
    <row r="537">
      <c r="C537" s="13" t="s">
        <v>481</v>
      </c>
      <c r="D537">
        <f t="shared" si="1"/>
        <v>0</v>
      </c>
    </row>
    <row r="538">
      <c r="C538" s="13" t="s">
        <v>485</v>
      </c>
      <c r="D538">
        <f t="shared" si="1"/>
        <v>0</v>
      </c>
    </row>
    <row r="539">
      <c r="C539" s="13" t="s">
        <v>8</v>
      </c>
      <c r="D539">
        <f t="shared" si="1"/>
        <v>0</v>
      </c>
    </row>
    <row r="540">
      <c r="C540" s="13" t="s">
        <v>98</v>
      </c>
      <c r="D540">
        <f t="shared" si="1"/>
        <v>0</v>
      </c>
    </row>
    <row r="541">
      <c r="C541" s="13" t="s">
        <v>667</v>
      </c>
      <c r="D541">
        <f t="shared" si="1"/>
        <v>0</v>
      </c>
    </row>
    <row r="542">
      <c r="C542" s="13" t="s">
        <v>561</v>
      </c>
      <c r="D542">
        <f t="shared" si="1"/>
        <v>0</v>
      </c>
    </row>
    <row r="543">
      <c r="C543" s="13" t="s">
        <v>429</v>
      </c>
      <c r="D543">
        <f t="shared" si="1"/>
        <v>0</v>
      </c>
    </row>
    <row r="544">
      <c r="C544" s="13" t="s">
        <v>360</v>
      </c>
      <c r="D544">
        <f t="shared" si="1"/>
        <v>0</v>
      </c>
    </row>
    <row r="545">
      <c r="C545" s="13" t="s">
        <v>273</v>
      </c>
      <c r="D545">
        <f t="shared" si="1"/>
        <v>0</v>
      </c>
    </row>
    <row r="546">
      <c r="C546" s="13" t="s">
        <v>410</v>
      </c>
      <c r="D546">
        <f t="shared" si="1"/>
        <v>0</v>
      </c>
    </row>
    <row r="547">
      <c r="C547" s="13" t="s">
        <v>58</v>
      </c>
      <c r="D547">
        <f t="shared" si="1"/>
        <v>0</v>
      </c>
    </row>
    <row r="548">
      <c r="C548" s="13" t="s">
        <v>331</v>
      </c>
      <c r="D548">
        <f t="shared" si="1"/>
        <v>0</v>
      </c>
    </row>
    <row r="549">
      <c r="C549" s="13" t="s">
        <v>382</v>
      </c>
      <c r="D549">
        <f t="shared" si="1"/>
        <v>0</v>
      </c>
    </row>
    <row r="550">
      <c r="C550" s="13" t="s">
        <v>584</v>
      </c>
      <c r="D550">
        <f t="shared" si="1"/>
        <v>0</v>
      </c>
    </row>
    <row r="551">
      <c r="C551" s="13" t="s">
        <v>509</v>
      </c>
      <c r="D551">
        <f t="shared" si="1"/>
        <v>0</v>
      </c>
    </row>
    <row r="552">
      <c r="C552" s="13" t="s">
        <v>665</v>
      </c>
      <c r="D552">
        <f t="shared" si="1"/>
        <v>0</v>
      </c>
    </row>
    <row r="553">
      <c r="C553" s="13" t="s">
        <v>152</v>
      </c>
      <c r="D553">
        <f t="shared" si="1"/>
        <v>0</v>
      </c>
    </row>
    <row r="554">
      <c r="C554" s="13" t="s">
        <v>517</v>
      </c>
      <c r="D554">
        <f t="shared" si="1"/>
        <v>0</v>
      </c>
    </row>
    <row r="555">
      <c r="C555" s="13" t="s">
        <v>592</v>
      </c>
      <c r="D555">
        <f t="shared" si="1"/>
        <v>0</v>
      </c>
    </row>
    <row r="556">
      <c r="C556" s="13" t="s">
        <v>559</v>
      </c>
      <c r="D556">
        <f t="shared" si="1"/>
        <v>0</v>
      </c>
    </row>
    <row r="557">
      <c r="C557" s="13" t="s">
        <v>621</v>
      </c>
      <c r="D557">
        <f t="shared" si="1"/>
        <v>0</v>
      </c>
    </row>
    <row r="558">
      <c r="C558" s="13" t="s">
        <v>141</v>
      </c>
      <c r="D558">
        <f t="shared" si="1"/>
        <v>0</v>
      </c>
    </row>
    <row r="559">
      <c r="C559" s="13" t="s">
        <v>258</v>
      </c>
      <c r="D559">
        <f t="shared" si="1"/>
        <v>0</v>
      </c>
    </row>
    <row r="560">
      <c r="C560" s="13" t="s">
        <v>622</v>
      </c>
      <c r="D560">
        <f t="shared" si="1"/>
        <v>0</v>
      </c>
    </row>
    <row r="561">
      <c r="C561" s="13" t="s">
        <v>178</v>
      </c>
      <c r="D561">
        <f t="shared" si="1"/>
        <v>0</v>
      </c>
    </row>
    <row r="562">
      <c r="C562" s="13" t="s">
        <v>447</v>
      </c>
      <c r="D562">
        <f t="shared" si="1"/>
        <v>0</v>
      </c>
    </row>
    <row r="563">
      <c r="C563" s="13" t="s">
        <v>312</v>
      </c>
      <c r="D563">
        <f t="shared" si="1"/>
        <v>0</v>
      </c>
    </row>
    <row r="564">
      <c r="C564" s="13" t="s">
        <v>147</v>
      </c>
      <c r="D564">
        <f t="shared" si="1"/>
        <v>0</v>
      </c>
    </row>
    <row r="565">
      <c r="C565" s="13" t="s">
        <v>56</v>
      </c>
      <c r="D565">
        <f t="shared" si="1"/>
        <v>0</v>
      </c>
    </row>
    <row r="566">
      <c r="C566" s="13" t="s">
        <v>270</v>
      </c>
      <c r="D566">
        <f t="shared" si="1"/>
        <v>0</v>
      </c>
    </row>
    <row r="567">
      <c r="C567" s="13" t="s">
        <v>255</v>
      </c>
      <c r="D567">
        <f t="shared" si="1"/>
        <v>0</v>
      </c>
    </row>
    <row r="568">
      <c r="C568" s="13" t="s">
        <v>241</v>
      </c>
      <c r="D568">
        <f t="shared" si="1"/>
        <v>0</v>
      </c>
    </row>
    <row r="569">
      <c r="C569" s="13" t="s">
        <v>311</v>
      </c>
      <c r="D569">
        <f t="shared" si="1"/>
        <v>0</v>
      </c>
    </row>
    <row r="570">
      <c r="C570" s="13" t="s">
        <v>310</v>
      </c>
      <c r="D570">
        <f t="shared" si="1"/>
        <v>0</v>
      </c>
    </row>
    <row r="571">
      <c r="C571" s="13" t="s">
        <v>293</v>
      </c>
      <c r="D571">
        <f t="shared" si="1"/>
        <v>0</v>
      </c>
    </row>
    <row r="572">
      <c r="C572" s="13" t="s">
        <v>465</v>
      </c>
      <c r="D572">
        <f t="shared" si="1"/>
        <v>0</v>
      </c>
    </row>
    <row r="573">
      <c r="C573" s="13" t="s">
        <v>229</v>
      </c>
      <c r="D573">
        <f t="shared" si="1"/>
        <v>0</v>
      </c>
    </row>
    <row r="574">
      <c r="C574" s="13" t="s">
        <v>619</v>
      </c>
      <c r="D574">
        <f t="shared" si="1"/>
        <v>0</v>
      </c>
    </row>
    <row r="575">
      <c r="C575" s="13" t="s">
        <v>110</v>
      </c>
      <c r="D575">
        <f t="shared" si="1"/>
        <v>0</v>
      </c>
    </row>
    <row r="576">
      <c r="C576" s="13" t="s">
        <v>269</v>
      </c>
      <c r="D576">
        <f t="shared" si="1"/>
        <v>0</v>
      </c>
    </row>
    <row r="577">
      <c r="C577" s="13" t="s">
        <v>625</v>
      </c>
      <c r="D577">
        <f t="shared" si="1"/>
        <v>0</v>
      </c>
    </row>
    <row r="578">
      <c r="C578" s="13" t="s">
        <v>59</v>
      </c>
      <c r="D578">
        <f t="shared" si="1"/>
        <v>0</v>
      </c>
    </row>
    <row r="579">
      <c r="C579" s="13" t="s">
        <v>552</v>
      </c>
      <c r="D579">
        <f t="shared" si="1"/>
        <v>0</v>
      </c>
    </row>
    <row r="580">
      <c r="C580" s="13" t="s">
        <v>402</v>
      </c>
      <c r="D580">
        <f t="shared" si="1"/>
        <v>0</v>
      </c>
    </row>
    <row r="581">
      <c r="C581" s="13" t="s">
        <v>271</v>
      </c>
      <c r="D581">
        <f t="shared" si="1"/>
        <v>0</v>
      </c>
    </row>
  </sheetData>
  <hyperlinks>
    <hyperlink r:id="rId1" ref="A2"/>
    <hyperlink r:id="rId2" ref="A5"/>
    <hyperlink r:id="rId3" ref="A6"/>
    <hyperlink r:id="rId4" ref="A12"/>
    <hyperlink r:id="rId5" ref="A14"/>
    <hyperlink r:id="rId6" ref="A15"/>
    <hyperlink r:id="rId7" ref="A18"/>
    <hyperlink r:id="rId8" ref="A19"/>
    <hyperlink r:id="rId9" ref="A32"/>
    <hyperlink r:id="rId10" ref="A36"/>
    <hyperlink r:id="rId11" ref="A42"/>
    <hyperlink r:id="rId12" ref="A48"/>
    <hyperlink r:id="rId13" ref="A51"/>
    <hyperlink r:id="rId14" ref="A52"/>
    <hyperlink r:id="rId15" ref="A54"/>
    <hyperlink r:id="rId16" ref="A63"/>
    <hyperlink r:id="rId17" ref="A65"/>
    <hyperlink r:id="rId18" ref="A68"/>
    <hyperlink r:id="rId19" ref="A76"/>
    <hyperlink r:id="rId20" ref="A98"/>
    <hyperlink r:id="rId21" ref="A99"/>
    <hyperlink r:id="rId22" ref="A101"/>
    <hyperlink r:id="rId23" ref="A103"/>
    <hyperlink r:id="rId24" ref="A108"/>
    <hyperlink r:id="rId25" ref="A109"/>
    <hyperlink r:id="rId26" ref="A111"/>
    <hyperlink r:id="rId27" ref="A114"/>
    <hyperlink r:id="rId28" ref="A116"/>
    <hyperlink r:id="rId29" ref="A118"/>
    <hyperlink r:id="rId30" ref="A129"/>
    <hyperlink r:id="rId31" ref="A130"/>
    <hyperlink r:id="rId32" ref="A131"/>
    <hyperlink r:id="rId33" ref="A147"/>
    <hyperlink r:id="rId34" ref="A151"/>
    <hyperlink r:id="rId35" ref="A152"/>
    <hyperlink r:id="rId36" ref="A159"/>
    <hyperlink r:id="rId37" ref="A161"/>
    <hyperlink r:id="rId38" ref="A168"/>
    <hyperlink r:id="rId39" ref="A170"/>
    <hyperlink r:id="rId40" ref="A173"/>
    <hyperlink r:id="rId41" ref="A175"/>
    <hyperlink r:id="rId42" ref="A176"/>
    <hyperlink r:id="rId43" ref="A180"/>
    <hyperlink r:id="rId44" ref="A183"/>
    <hyperlink r:id="rId45" ref="A184"/>
    <hyperlink r:id="rId46" ref="A186"/>
    <hyperlink r:id="rId47" ref="A191"/>
    <hyperlink r:id="rId48" ref="A193"/>
    <hyperlink r:id="rId49" ref="A198"/>
    <hyperlink r:id="rId50" ref="A201"/>
  </hyperlinks>
  <drawing r:id="rId51"/>
</worksheet>
</file>